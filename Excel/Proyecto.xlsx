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proyectos\Excel\"/>
    </mc:Choice>
  </mc:AlternateContent>
  <bookViews>
    <workbookView xWindow="0" yWindow="0" windowWidth="25125" windowHeight="11610" activeTab="2"/>
  </bookViews>
  <sheets>
    <sheet name="Proyecto" sheetId="2" r:id="rId1"/>
    <sheet name="Datos_limpios" sheetId="3" r:id="rId2"/>
    <sheet name="Aprobación" sheetId="7" r:id="rId3"/>
    <sheet name="Efectos" sheetId="6" r:id="rId4"/>
    <sheet name="Resumen_fabricantes" sheetId="4" r:id="rId5"/>
    <sheet name="medicamentos" sheetId="5" r:id="rId6"/>
  </sheets>
  <definedNames>
    <definedName name="_xlnm._FilterDatabase" localSheetId="1" hidden="1">Datos_limpios!$F$1:$F$1437</definedName>
    <definedName name="_xlnm._FilterDatabase" localSheetId="4" hidden="1">Resumen_fabricantes!$B$2:$B$18</definedName>
    <definedName name="realistic_drug_labels_side_effects" localSheetId="1">Datos_limpios!$A$1:$O$1437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7" l="1"/>
  <c r="C6" i="7"/>
  <c r="C12" i="7"/>
  <c r="C4" i="7"/>
  <c r="C5" i="7"/>
  <c r="C11" i="7"/>
  <c r="D11" i="7" s="1"/>
  <c r="C7" i="7"/>
  <c r="C8" i="7"/>
  <c r="C10" i="7"/>
  <c r="C9" i="7"/>
  <c r="B6" i="7"/>
  <c r="B3" i="7"/>
  <c r="B12" i="7"/>
  <c r="B4" i="7"/>
  <c r="B5" i="7"/>
  <c r="B11" i="7"/>
  <c r="B7" i="7"/>
  <c r="B8" i="7"/>
  <c r="B10" i="7"/>
  <c r="B9" i="7"/>
  <c r="D4" i="6"/>
  <c r="D5" i="6"/>
  <c r="D3" i="6"/>
  <c r="C4" i="6"/>
  <c r="C5" i="6"/>
  <c r="C3" i="6"/>
  <c r="B4" i="6"/>
  <c r="B5" i="6"/>
  <c r="B3" i="6"/>
  <c r="B4" i="5"/>
  <c r="B5" i="5"/>
  <c r="B6" i="5"/>
  <c r="B7" i="5"/>
  <c r="B8" i="5"/>
  <c r="B9" i="5"/>
  <c r="B10" i="5"/>
  <c r="B11" i="5"/>
  <c r="B12" i="5"/>
  <c r="B3" i="5"/>
  <c r="E3" i="6" l="1"/>
  <c r="E5" i="6"/>
  <c r="D8" i="7"/>
  <c r="D7" i="7"/>
  <c r="D5" i="7"/>
  <c r="D4" i="7"/>
  <c r="D12" i="7"/>
  <c r="D3" i="7"/>
  <c r="D6" i="7"/>
  <c r="D9" i="7"/>
  <c r="D10" i="7"/>
  <c r="F5" i="6"/>
  <c r="F3" i="6"/>
  <c r="E4" i="6"/>
  <c r="F4" i="6" s="1"/>
  <c r="D5" i="4"/>
  <c r="D6" i="4"/>
  <c r="D7" i="4"/>
  <c r="D8" i="4"/>
  <c r="D9" i="4"/>
  <c r="D10" i="4"/>
  <c r="D11" i="4"/>
  <c r="D12" i="4"/>
  <c r="D4" i="4"/>
  <c r="D3" i="4"/>
  <c r="C5" i="4"/>
  <c r="C6" i="4"/>
  <c r="C7" i="4"/>
  <c r="C8" i="4"/>
  <c r="C9" i="4"/>
  <c r="C10" i="4"/>
  <c r="C11" i="4"/>
  <c r="C12" i="4"/>
  <c r="C4" i="4"/>
  <c r="C3" i="4"/>
  <c r="B5" i="4"/>
  <c r="B6" i="4"/>
  <c r="E6" i="4" s="1"/>
  <c r="B7" i="4"/>
  <c r="E7" i="4" s="1"/>
  <c r="B8" i="4"/>
  <c r="E8" i="4" s="1"/>
  <c r="B9" i="4"/>
  <c r="E9" i="4" s="1"/>
  <c r="B10" i="4"/>
  <c r="E10" i="4" s="1"/>
  <c r="B11" i="4"/>
  <c r="E11" i="4" s="1"/>
  <c r="B12" i="4"/>
  <c r="E12" i="4" s="1"/>
  <c r="B4" i="4"/>
  <c r="B3" i="4"/>
  <c r="E3" i="4" s="1"/>
  <c r="E5" i="4" l="1"/>
  <c r="F5" i="4" s="1"/>
  <c r="F3" i="4"/>
  <c r="E4" i="4"/>
  <c r="F4" i="4" s="1"/>
  <c r="F12" i="4"/>
  <c r="F11" i="4"/>
  <c r="F10" i="4"/>
  <c r="F9" i="4"/>
  <c r="F8" i="4"/>
  <c r="F7" i="4"/>
  <c r="F6" i="4"/>
</calcChain>
</file>

<file path=xl/connections.xml><?xml version="1.0" encoding="utf-8"?>
<connections xmlns="http://schemas.openxmlformats.org/spreadsheetml/2006/main">
  <connection id="1" name="realistic_drug_labels_side_effects1" type="6" refreshedVersion="6" background="1" saveData="1">
    <textPr codePage="850" sourceFile="C:\Users\Usuario\Downloads\proyectos\Excel\realistic_drug_labels_side_effects.csv" decimal="," thousands="." tab="0" semicolon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<sst xmlns="http://schemas.openxmlformats.org/spreadsheetml/2006/main" count="15910" uniqueCount="3331">
  <si>
    <t>drug_name</t>
  </si>
  <si>
    <t>manufacturer</t>
  </si>
  <si>
    <t>approval_year</t>
  </si>
  <si>
    <t>drug_class</t>
  </si>
  <si>
    <t>indications</t>
  </si>
  <si>
    <t>side_effects</t>
  </si>
  <si>
    <t>dosage_mg</t>
  </si>
  <si>
    <t>administration_route</t>
  </si>
  <si>
    <t>contraindications</t>
  </si>
  <si>
    <t>warnings</t>
  </si>
  <si>
    <t>price_usd</t>
  </si>
  <si>
    <t>batch_number</t>
  </si>
  <si>
    <t>expiry_date</t>
  </si>
  <si>
    <t>side_effect_severity</t>
  </si>
  <si>
    <t>approval_status</t>
  </si>
  <si>
    <t>Seroxetine50</t>
  </si>
  <si>
    <t>AstraZeneca</t>
  </si>
  <si>
    <t>Antidepressant</t>
  </si>
  <si>
    <t>Allergy relief</t>
  </si>
  <si>
    <t>Fatigue, Nausea</t>
  </si>
  <si>
    <t>Rectal</t>
  </si>
  <si>
    <t>Bleeding disorders</t>
  </si>
  <si>
    <t>Avoid alcohol</t>
  </si>
  <si>
    <t>MV388Pl</t>
  </si>
  <si>
    <t>Mild</t>
  </si>
  <si>
    <t>Pending</t>
  </si>
  <si>
    <t>Mecoparin93</t>
  </si>
  <si>
    <t>Vaccine</t>
  </si>
  <si>
    <t>Nausea</t>
  </si>
  <si>
    <t>Inhalation</t>
  </si>
  <si>
    <t>Allergic reaction</t>
  </si>
  <si>
    <t>Take with food</t>
  </si>
  <si>
    <t>UR279ZN</t>
  </si>
  <si>
    <t>Approved</t>
  </si>
  <si>
    <t>Daxozole89</t>
  </si>
  <si>
    <t>Merck &amp; Co.</t>
  </si>
  <si>
    <t>Antipsychotic</t>
  </si>
  <si>
    <t>Diarrhea, Blurred vision, Dizziness</t>
  </si>
  <si>
    <t>Sublingual</t>
  </si>
  <si>
    <t>High blood pressure</t>
  </si>
  <si>
    <t>we040kH</t>
  </si>
  <si>
    <t>Moderate</t>
  </si>
  <si>
    <t>Viracillin84</t>
  </si>
  <si>
    <t>Roche Holding AG</t>
  </si>
  <si>
    <t>Antifungal</t>
  </si>
  <si>
    <t>Inflammation reduction</t>
  </si>
  <si>
    <t>Fatigue, Dry mouth</t>
  </si>
  <si>
    <t>Oral</t>
  </si>
  <si>
    <t>Kidney impairment</t>
  </si>
  <si>
    <t>Do not operate machinery</t>
  </si>
  <si>
    <t>hO060rh</t>
  </si>
  <si>
    <t>Rejected</t>
  </si>
  <si>
    <t>Amoxstatin62</t>
  </si>
  <si>
    <t>Pfizer Inc.</t>
  </si>
  <si>
    <t>Psychosis control</t>
  </si>
  <si>
    <t>Insomnia, Dry mouth, Fatigue</t>
  </si>
  <si>
    <t>Topical</t>
  </si>
  <si>
    <t>Fa621Sw</t>
  </si>
  <si>
    <t>Loxocillin72</t>
  </si>
  <si>
    <t>Johnson &amp; Johnson</t>
  </si>
  <si>
    <t>Viral infections</t>
  </si>
  <si>
    <t>Rash, Dizziness</t>
  </si>
  <si>
    <t>Intravenous</t>
  </si>
  <si>
    <t>May affect fertility</t>
  </si>
  <si>
    <t>Nl465Ez</t>
  </si>
  <si>
    <t>Fenoxetine43</t>
  </si>
  <si>
    <t>Anti-inflammatory</t>
  </si>
  <si>
    <t>Blurred vision</t>
  </si>
  <si>
    <t>Id480PC</t>
  </si>
  <si>
    <t>Fenomab17</t>
  </si>
  <si>
    <t>GlaxoSmithKline</t>
  </si>
  <si>
    <t>Analgesic</t>
  </si>
  <si>
    <t>Bacterial infections</t>
  </si>
  <si>
    <t>Seizures</t>
  </si>
  <si>
    <t>XK920cq</t>
  </si>
  <si>
    <t>Severe</t>
  </si>
  <si>
    <t>Cefparin42</t>
  </si>
  <si>
    <t>Sanofi</t>
  </si>
  <si>
    <t>Prevent infectious disease</t>
  </si>
  <si>
    <t>Dry mouth</t>
  </si>
  <si>
    <t>Asthma</t>
  </si>
  <si>
    <t>TU342KC</t>
  </si>
  <si>
    <t>Rivaprofen81</t>
  </si>
  <si>
    <t>Antibiotic</t>
  </si>
  <si>
    <t>Insomnia, Fatigue, Headache</t>
  </si>
  <si>
    <t>Intramuscular</t>
  </si>
  <si>
    <t>Pregnancy</t>
  </si>
  <si>
    <t>LQ578uz</t>
  </si>
  <si>
    <t>Fenocillin43</t>
  </si>
  <si>
    <t>Antiviral</t>
  </si>
  <si>
    <t>Dizziness, Fatigue</t>
  </si>
  <si>
    <t>Liver disease</t>
  </si>
  <si>
    <t>Risk of addiction</t>
  </si>
  <si>
    <t>FP064JV</t>
  </si>
  <si>
    <t>Amoxxetine60</t>
  </si>
  <si>
    <t>Antihistamine</t>
  </si>
  <si>
    <t>oL649Gy</t>
  </si>
  <si>
    <t>Zylomab54</t>
  </si>
  <si>
    <t>Bayer AG</t>
  </si>
  <si>
    <t>Fungal infections</t>
  </si>
  <si>
    <t>Rash, Diarrhea, Insomnia</t>
  </si>
  <si>
    <t>Monitor blood pressure</t>
  </si>
  <si>
    <t>gz867Gp</t>
  </si>
  <si>
    <t>Amoxstatin52</t>
  </si>
  <si>
    <t>Depression treatment</t>
  </si>
  <si>
    <t>Constipation, Diarrhea, Blurred vision</t>
  </si>
  <si>
    <t>Kp602HU</t>
  </si>
  <si>
    <t>Virazole50</t>
  </si>
  <si>
    <t>Antipyretic</t>
  </si>
  <si>
    <t>Headache, Dizziness, Constipation</t>
  </si>
  <si>
    <t>May cause drowsiness</t>
  </si>
  <si>
    <t>vP121pU</t>
  </si>
  <si>
    <t>Cefprofen42</t>
  </si>
  <si>
    <t>Dizziness, Insomnia, Constipation</t>
  </si>
  <si>
    <t>AR108jz</t>
  </si>
  <si>
    <t>Cefzole42</t>
  </si>
  <si>
    <t>Pain relief</t>
  </si>
  <si>
    <t>JW654ck</t>
  </si>
  <si>
    <t>Fenomab41</t>
  </si>
  <si>
    <t>Fever reduction</t>
  </si>
  <si>
    <t>Headache, Diarrhea, Insomnia</t>
  </si>
  <si>
    <t>Avoid sunlight exposure</t>
  </si>
  <si>
    <t>Ti286wo</t>
  </si>
  <si>
    <t>Mecoparin65</t>
  </si>
  <si>
    <t>Fatigue, Diarrhea</t>
  </si>
  <si>
    <t>Use with caution in elderly</t>
  </si>
  <si>
    <t>xl072nC</t>
  </si>
  <si>
    <t>Seroxetine86</t>
  </si>
  <si>
    <t>Rash, Fatigue</t>
  </si>
  <si>
    <t>Xr189Tw</t>
  </si>
  <si>
    <t>Zylostatin70</t>
  </si>
  <si>
    <t>Diarrhea, Insomnia</t>
  </si>
  <si>
    <t>xz503bu</t>
  </si>
  <si>
    <t>Amoxstatin45</t>
  </si>
  <si>
    <t>Moderna Therapeutics</t>
  </si>
  <si>
    <t>Diarrhea</t>
  </si>
  <si>
    <t>ff665ER</t>
  </si>
  <si>
    <t>Cefmab58</t>
  </si>
  <si>
    <t>Novartis AG</t>
  </si>
  <si>
    <t>Headache</t>
  </si>
  <si>
    <t>Nu212OF</t>
  </si>
  <si>
    <t>Amoxvir52</t>
  </si>
  <si>
    <t>Dry mouth, Insomnia</t>
  </si>
  <si>
    <t>pN426wC</t>
  </si>
  <si>
    <t>Zyloparin93</t>
  </si>
  <si>
    <t>Fatigue</t>
  </si>
  <si>
    <t>Do not discontinue abruptly</t>
  </si>
  <si>
    <t>ER909gT</t>
  </si>
  <si>
    <t>Daxoprofen23</t>
  </si>
  <si>
    <t>tb051tZ</t>
  </si>
  <si>
    <t>Loxomab59</t>
  </si>
  <si>
    <t>Heart disease</t>
  </si>
  <si>
    <t>dU359vk</t>
  </si>
  <si>
    <t>Serodipine76</t>
  </si>
  <si>
    <t>On333ej</t>
  </si>
  <si>
    <t>Loxozepam62</t>
  </si>
  <si>
    <t>Insomnia, Rash, Constipation</t>
  </si>
  <si>
    <t>YH453Zb</t>
  </si>
  <si>
    <t>Rivaprofen67</t>
  </si>
  <si>
    <t>Fatigue, Nausea, Dizziness</t>
  </si>
  <si>
    <t>qu491Ck</t>
  </si>
  <si>
    <t>Viraparin11</t>
  </si>
  <si>
    <t>Insomnia</t>
  </si>
  <si>
    <t>Zq996jF</t>
  </si>
  <si>
    <t>Fenoparin78</t>
  </si>
  <si>
    <t>lR165PH</t>
  </si>
  <si>
    <t>Cefmab22</t>
  </si>
  <si>
    <t>Rash, Dizziness, Diarrhea</t>
  </si>
  <si>
    <t>YZ207Oj</t>
  </si>
  <si>
    <t>Fenocillin11</t>
  </si>
  <si>
    <t>Dm069bR</t>
  </si>
  <si>
    <t>Daxoparin20</t>
  </si>
  <si>
    <t>Diarrhea, Blurred vision, Headache</t>
  </si>
  <si>
    <t>PM794OV</t>
  </si>
  <si>
    <t>Amoxzepam36</t>
  </si>
  <si>
    <t>Headache, Dry mouth, Nausea</t>
  </si>
  <si>
    <t>sr672Fo</t>
  </si>
  <si>
    <t>Mecodipine51</t>
  </si>
  <si>
    <t>HP064At</t>
  </si>
  <si>
    <t>Daxomab60</t>
  </si>
  <si>
    <t>Rash</t>
  </si>
  <si>
    <t>gH460LX</t>
  </si>
  <si>
    <t>Viraparin98</t>
  </si>
  <si>
    <t>RV092oJ</t>
  </si>
  <si>
    <t>Mecoprofen83</t>
  </si>
  <si>
    <t>Blurred vision, Nausea</t>
  </si>
  <si>
    <t>Diabetes</t>
  </si>
  <si>
    <t>ZF007mi</t>
  </si>
  <si>
    <t>Mecozole78</t>
  </si>
  <si>
    <t>Dizziness, Diarrhea</t>
  </si>
  <si>
    <t>mN172Uf</t>
  </si>
  <si>
    <t>Amoxvir15</t>
  </si>
  <si>
    <t>Nausea, Dry mouth, Diarrhea</t>
  </si>
  <si>
    <t>Bh756PW</t>
  </si>
  <si>
    <t>Cefcillin81</t>
  </si>
  <si>
    <t>Headache, Blurred vision</t>
  </si>
  <si>
    <t>ZI750Qj</t>
  </si>
  <si>
    <t>Amoxvir70</t>
  </si>
  <si>
    <t>Dizziness, Headache, Nausea</t>
  </si>
  <si>
    <t>Wq735lJ</t>
  </si>
  <si>
    <t>Cefzepam73</t>
  </si>
  <si>
    <t>oh442Uk</t>
  </si>
  <si>
    <t>Mecoxetine49</t>
  </si>
  <si>
    <t>dS738YS</t>
  </si>
  <si>
    <t>Amoxvir19</t>
  </si>
  <si>
    <t>Fatigue, Rash</t>
  </si>
  <si>
    <t>za332dp</t>
  </si>
  <si>
    <t>Zyloparin70</t>
  </si>
  <si>
    <t>Constipation</t>
  </si>
  <si>
    <t>Vg500oj</t>
  </si>
  <si>
    <t>Seroprofen35</t>
  </si>
  <si>
    <t>Rash, Diarrhea</t>
  </si>
  <si>
    <t>Qz911ue</t>
  </si>
  <si>
    <t>Daxozole11</t>
  </si>
  <si>
    <t>Rash, Headache, Nausea</t>
  </si>
  <si>
    <t>QM274Xc</t>
  </si>
  <si>
    <t>Amoxstatin67</t>
  </si>
  <si>
    <t>Dizziness, Headache</t>
  </si>
  <si>
    <t>uU245NU</t>
  </si>
  <si>
    <t>Mecoxetine94</t>
  </si>
  <si>
    <t>Headache, Nausea</t>
  </si>
  <si>
    <t>iK374yi</t>
  </si>
  <si>
    <t>Loxoparin76</t>
  </si>
  <si>
    <t>Rash, Insomnia, Fatigue</t>
  </si>
  <si>
    <t>WC839fm</t>
  </si>
  <si>
    <t>Virazole73</t>
  </si>
  <si>
    <t>Nausea, Insomnia, Diarrhea</t>
  </si>
  <si>
    <t>sY006lI</t>
  </si>
  <si>
    <t>Loxozole57</t>
  </si>
  <si>
    <t>bY100yT</t>
  </si>
  <si>
    <t>Viraxetine66</t>
  </si>
  <si>
    <t>Headache, Dry mouth, Dizziness</t>
  </si>
  <si>
    <t>pm176ZD</t>
  </si>
  <si>
    <t>Daxomab70</t>
  </si>
  <si>
    <t>OW258yR</t>
  </si>
  <si>
    <t>Seroxetine12</t>
  </si>
  <si>
    <t>Insomnia, Nausea</t>
  </si>
  <si>
    <t>jN802tQ</t>
  </si>
  <si>
    <t>Fenocillin31</t>
  </si>
  <si>
    <t>Et179ok</t>
  </si>
  <si>
    <t>Zylomab94</t>
  </si>
  <si>
    <t>Insomnia, Diarrhea</t>
  </si>
  <si>
    <t>JW717ip</t>
  </si>
  <si>
    <t>Cefstatin97</t>
  </si>
  <si>
    <t>Blurred vision, Rash</t>
  </si>
  <si>
    <t>bC233JO</t>
  </si>
  <si>
    <t>Virazole36</t>
  </si>
  <si>
    <t>Headache, Dry mouth, Constipation</t>
  </si>
  <si>
    <t>mM949QD</t>
  </si>
  <si>
    <t>Rivavir88</t>
  </si>
  <si>
    <t>Dizziness</t>
  </si>
  <si>
    <t>xb561Hn</t>
  </si>
  <si>
    <t>Constipation, Fatigue</t>
  </si>
  <si>
    <t>bb917Ce</t>
  </si>
  <si>
    <t>Daxocillin23</t>
  </si>
  <si>
    <t>Fatigue, Diarrhea, Rash</t>
  </si>
  <si>
    <t>Ov310Iv</t>
  </si>
  <si>
    <t>Rivaprofen78</t>
  </si>
  <si>
    <t>Fatigue, Dizziness, Constipation</t>
  </si>
  <si>
    <t>Xh137Yn</t>
  </si>
  <si>
    <t>Serovir30</t>
  </si>
  <si>
    <t>Nausea, Rash, Blurred vision</t>
  </si>
  <si>
    <t>Fw257WN</t>
  </si>
  <si>
    <t>Serostatin20</t>
  </si>
  <si>
    <t>Constipation, Fatigue, Diarrhea</t>
  </si>
  <si>
    <t>KQ675Cp</t>
  </si>
  <si>
    <t>Seroprofen18</t>
  </si>
  <si>
    <t>Rash, Insomnia, Blurred vision</t>
  </si>
  <si>
    <t>qn458mn</t>
  </si>
  <si>
    <t>Viradipine57</t>
  </si>
  <si>
    <t>Dizziness, Blurred vision, Rash</t>
  </si>
  <si>
    <t>Ku073mQ</t>
  </si>
  <si>
    <t>Cefvir57</t>
  </si>
  <si>
    <t>Rash, Nausea, Fatigue</t>
  </si>
  <si>
    <t>vf204VC</t>
  </si>
  <si>
    <t>Seroprofen98</t>
  </si>
  <si>
    <t>Blurred vision, Dry mouth</t>
  </si>
  <si>
    <t>Bv046af</t>
  </si>
  <si>
    <t>Rivazole34</t>
  </si>
  <si>
    <t>Dry mouth, Dizziness, Fatigue</t>
  </si>
  <si>
    <t>KW613si</t>
  </si>
  <si>
    <t>Fenoprofen71</t>
  </si>
  <si>
    <t>Xo865Gq</t>
  </si>
  <si>
    <t>Mecodipine29</t>
  </si>
  <si>
    <t>WC570Kw</t>
  </si>
  <si>
    <t>Serozepam87</t>
  </si>
  <si>
    <t>Blurred vision, Insomnia</t>
  </si>
  <si>
    <t>kZ445ay</t>
  </si>
  <si>
    <t>Daxovir74</t>
  </si>
  <si>
    <t>lL290gE</t>
  </si>
  <si>
    <t>Cefcillin80</t>
  </si>
  <si>
    <t>Rp062PD</t>
  </si>
  <si>
    <t>Zylovir64</t>
  </si>
  <si>
    <t>Dry mouth, Fatigue, Blurred vision</t>
  </si>
  <si>
    <t>RR246xi</t>
  </si>
  <si>
    <t>Seroxetine38</t>
  </si>
  <si>
    <t>Nausea, Dry mouth</t>
  </si>
  <si>
    <t>pM739Fu</t>
  </si>
  <si>
    <t>Amoxcillin71</t>
  </si>
  <si>
    <t>Insomnia, Blurred vision, Rash</t>
  </si>
  <si>
    <t>WI421OV</t>
  </si>
  <si>
    <t>Loxodipine99</t>
  </si>
  <si>
    <t>Dizziness, Dry mouth, Nausea</t>
  </si>
  <si>
    <t>Wd677gm</t>
  </si>
  <si>
    <t>Loxomab63</t>
  </si>
  <si>
    <t>Headache, Rash, Nausea</t>
  </si>
  <si>
    <t>UD437wp</t>
  </si>
  <si>
    <t>Daxovir46</t>
  </si>
  <si>
    <t>Dry mouth, Constipation, Diarrhea</t>
  </si>
  <si>
    <t>Xv043qE</t>
  </si>
  <si>
    <t>Mecomab45</t>
  </si>
  <si>
    <t>Blurred vision, Insomnia, Constipation</t>
  </si>
  <si>
    <t>BH905Tr</t>
  </si>
  <si>
    <t>Daxodipine13</t>
  </si>
  <si>
    <t>Nausea, Dry mouth, Rash</t>
  </si>
  <si>
    <t>ZN273nt</t>
  </si>
  <si>
    <t>Amoxdipine25</t>
  </si>
  <si>
    <t>Dry mouth, Dizziness</t>
  </si>
  <si>
    <t>hN266RU</t>
  </si>
  <si>
    <t>Serovir88</t>
  </si>
  <si>
    <t>Dry mouth, Rash</t>
  </si>
  <si>
    <t>YC121GU</t>
  </si>
  <si>
    <t>Rivacillin97</t>
  </si>
  <si>
    <t>Rash, Nausea</t>
  </si>
  <si>
    <t>Mp690gf</t>
  </si>
  <si>
    <t>Viraxetine77</t>
  </si>
  <si>
    <t>Insomnia, Rash, Dizziness</t>
  </si>
  <si>
    <t>cF027fc</t>
  </si>
  <si>
    <t>Fenozole89</t>
  </si>
  <si>
    <t>DG067iD</t>
  </si>
  <si>
    <t>Rivazole49</t>
  </si>
  <si>
    <t>La275So</t>
  </si>
  <si>
    <t>Daxostatin85</t>
  </si>
  <si>
    <t>Dry mouth, Blurred vision, Headache</t>
  </si>
  <si>
    <t>lE951kM</t>
  </si>
  <si>
    <t>Daxoxetine38</t>
  </si>
  <si>
    <t>Blurred vision, Constipation, Dry mouth</t>
  </si>
  <si>
    <t>uA455hx</t>
  </si>
  <si>
    <t>Amoxdipine23</t>
  </si>
  <si>
    <t>Dry mouth, Diarrhea, Constipation</t>
  </si>
  <si>
    <t>Ie910Ad</t>
  </si>
  <si>
    <t>Zyloparin24</t>
  </si>
  <si>
    <t>Dizziness, Insomnia</t>
  </si>
  <si>
    <t>ed189sM</t>
  </si>
  <si>
    <t>Seroparin79</t>
  </si>
  <si>
    <t>Dizziness, Insomnia, Headache</t>
  </si>
  <si>
    <t>Kv976RS</t>
  </si>
  <si>
    <t>Viraxetine60</t>
  </si>
  <si>
    <t>Blurred vision, Dry mouth, Rash</t>
  </si>
  <si>
    <t>OX866Kj</t>
  </si>
  <si>
    <t>Daxostatin86</t>
  </si>
  <si>
    <t>Dizziness, Diarrhea, Insomnia</t>
  </si>
  <si>
    <t>yW654lF</t>
  </si>
  <si>
    <t>Mecodipine72</t>
  </si>
  <si>
    <t>Mc504yM</t>
  </si>
  <si>
    <t>Cefmab95</t>
  </si>
  <si>
    <t>KT815Ms</t>
  </si>
  <si>
    <t>Rivacillin96</t>
  </si>
  <si>
    <t>LE343Vq</t>
  </si>
  <si>
    <t>Rivadipine34</t>
  </si>
  <si>
    <t>dY695Hq</t>
  </si>
  <si>
    <t>Zylomab16</t>
  </si>
  <si>
    <t>Rash, Blurred vision, Dry mouth</t>
  </si>
  <si>
    <t>uc009We</t>
  </si>
  <si>
    <t>Loxoparin23</t>
  </si>
  <si>
    <t>Dizziness, Blurred vision, Dry mouth</t>
  </si>
  <si>
    <t>zW928gc</t>
  </si>
  <si>
    <t>Fenodipine42</t>
  </si>
  <si>
    <t>KV514FN</t>
  </si>
  <si>
    <t>Rivastatin59</t>
  </si>
  <si>
    <t>AI960CA</t>
  </si>
  <si>
    <t>Fenocillin27</t>
  </si>
  <si>
    <t>Nausea, Blurred vision</t>
  </si>
  <si>
    <t>dZ371pe</t>
  </si>
  <si>
    <t>Cefcillin64</t>
  </si>
  <si>
    <t>Nausea, Diarrhea</t>
  </si>
  <si>
    <t>cL030kc</t>
  </si>
  <si>
    <t>Viravir35</t>
  </si>
  <si>
    <t>Nausea, Rash</t>
  </si>
  <si>
    <t>yc433HD</t>
  </si>
  <si>
    <t>Daxostatin64</t>
  </si>
  <si>
    <t>Rash, Dry mouth</t>
  </si>
  <si>
    <t>FR541gv</t>
  </si>
  <si>
    <t>Serodipine62</t>
  </si>
  <si>
    <t>SP857ez</t>
  </si>
  <si>
    <t>Seroxetine96</t>
  </si>
  <si>
    <t>YP169rS</t>
  </si>
  <si>
    <t>Daxoparin84</t>
  </si>
  <si>
    <t>Headache, Constipation</t>
  </si>
  <si>
    <t>FV262IY</t>
  </si>
  <si>
    <t>Zylozepam34</t>
  </si>
  <si>
    <t>Constipation, Blurred vision</t>
  </si>
  <si>
    <t>Ou912Dr</t>
  </si>
  <si>
    <t>Amoxdipine13</t>
  </si>
  <si>
    <t>Vr067oR</t>
  </si>
  <si>
    <t>Rivamab32</t>
  </si>
  <si>
    <t>Diarrhea, Insomnia, Dizziness</t>
  </si>
  <si>
    <t>lt883sA</t>
  </si>
  <si>
    <t>Serocillin74</t>
  </si>
  <si>
    <t>Insomnia, Nausea, Dizziness</t>
  </si>
  <si>
    <t>Ch392hP</t>
  </si>
  <si>
    <t>Serozole62</t>
  </si>
  <si>
    <t>Constipation, Blurred vision, Fatigue</t>
  </si>
  <si>
    <t>tJ471Wm</t>
  </si>
  <si>
    <t>Cefcillin14</t>
  </si>
  <si>
    <t>Nausea, Fatigue, Rash</t>
  </si>
  <si>
    <t>bX293vk</t>
  </si>
  <si>
    <t>Fenozepam50</t>
  </si>
  <si>
    <t>tx831Jx</t>
  </si>
  <si>
    <t>Cefzepam45</t>
  </si>
  <si>
    <t>Xw981sk</t>
  </si>
  <si>
    <t>Viraxetine19</t>
  </si>
  <si>
    <t>Nausea, Blurred vision, Diarrhea</t>
  </si>
  <si>
    <t>lU608YO</t>
  </si>
  <si>
    <t>Rivavir63</t>
  </si>
  <si>
    <t>Diarrhea, Headache, Nausea</t>
  </si>
  <si>
    <t>RY440Ps</t>
  </si>
  <si>
    <t>Mecodipine19</t>
  </si>
  <si>
    <t>Diarrhea, Blurred vision, Nausea</t>
  </si>
  <si>
    <t>Al047LT</t>
  </si>
  <si>
    <t>Serozole59</t>
  </si>
  <si>
    <t>Rash, Nausea, Dizziness</t>
  </si>
  <si>
    <t>pI144RI</t>
  </si>
  <si>
    <t>Serocillin27</t>
  </si>
  <si>
    <t>Dry mouth, Dizziness, Constipation</t>
  </si>
  <si>
    <t>cw810Ze</t>
  </si>
  <si>
    <t>Loxovir11</t>
  </si>
  <si>
    <t>FQ876tN</t>
  </si>
  <si>
    <t>Viravir99</t>
  </si>
  <si>
    <t>ol602lw</t>
  </si>
  <si>
    <t>Fenozepam91</t>
  </si>
  <si>
    <t>Diarrhea, Insomnia, Headache</t>
  </si>
  <si>
    <t>th303IV</t>
  </si>
  <si>
    <t>Amoxzepam33</t>
  </si>
  <si>
    <t>Constipation, Dizziness, Dry mouth</t>
  </si>
  <si>
    <t>lb711CZ</t>
  </si>
  <si>
    <t>Amoxvir68</t>
  </si>
  <si>
    <t>Uz486EG</t>
  </si>
  <si>
    <t>Amoxparin13</t>
  </si>
  <si>
    <t>Headache, Diarrhea</t>
  </si>
  <si>
    <t>DA056cp</t>
  </si>
  <si>
    <t>Daxovir24</t>
  </si>
  <si>
    <t>Ap915ad</t>
  </si>
  <si>
    <t>Rivaparin10</t>
  </si>
  <si>
    <t>Nausea, Fatigue</t>
  </si>
  <si>
    <t>sy696HU</t>
  </si>
  <si>
    <t>Mecostatin40</t>
  </si>
  <si>
    <t>wR821xE</t>
  </si>
  <si>
    <t>Cefdipine99</t>
  </si>
  <si>
    <t>Ui429mc</t>
  </si>
  <si>
    <t>Fenocillin39</t>
  </si>
  <si>
    <t>uO081eO</t>
  </si>
  <si>
    <t>Daxoxetine11</t>
  </si>
  <si>
    <t>Rash, Constipation, Blurred vision</t>
  </si>
  <si>
    <t>tK255Jv</t>
  </si>
  <si>
    <t>Fenostatin65</t>
  </si>
  <si>
    <t>PD059Zm</t>
  </si>
  <si>
    <t>Rivaxetine79</t>
  </si>
  <si>
    <t>Fatigue, Headache</t>
  </si>
  <si>
    <t>PN330DB</t>
  </si>
  <si>
    <t>Daxoxetine96</t>
  </si>
  <si>
    <t>YQ536kZ</t>
  </si>
  <si>
    <t>Rivazepam81</t>
  </si>
  <si>
    <t>Dry mouth, Nausea</t>
  </si>
  <si>
    <t>VQ980SP</t>
  </si>
  <si>
    <t>Loxostatin46</t>
  </si>
  <si>
    <t>hG662OX</t>
  </si>
  <si>
    <t>Daxocillin70</t>
  </si>
  <si>
    <t>HX676RB</t>
  </si>
  <si>
    <t>Daxozepam61</t>
  </si>
  <si>
    <t>Insomnia, Blurred vision</t>
  </si>
  <si>
    <t>mm106wL</t>
  </si>
  <si>
    <t>Rivaprofen24</t>
  </si>
  <si>
    <t>Hx014pT</t>
  </si>
  <si>
    <t>Mecozole28</t>
  </si>
  <si>
    <t>jk068JX</t>
  </si>
  <si>
    <t>Daxoparin72</t>
  </si>
  <si>
    <t>VS250ia</t>
  </si>
  <si>
    <t>Virazepam82</t>
  </si>
  <si>
    <t>GY943Pp</t>
  </si>
  <si>
    <t>Fenomab68</t>
  </si>
  <si>
    <t>PS364dF</t>
  </si>
  <si>
    <t>Viraparin39</t>
  </si>
  <si>
    <t>Dry mouth, Insomnia, Fatigue</t>
  </si>
  <si>
    <t>XP978aL</t>
  </si>
  <si>
    <t>Amoxvir93</t>
  </si>
  <si>
    <t>Bu652rL</t>
  </si>
  <si>
    <t>Rivaparin56</t>
  </si>
  <si>
    <t>IT266HQ</t>
  </si>
  <si>
    <t>Rivaxetine29</t>
  </si>
  <si>
    <t>Rash, Constipation</t>
  </si>
  <si>
    <t>by342fx</t>
  </si>
  <si>
    <t>Daxoprofen42</t>
  </si>
  <si>
    <t>Headache, Dry mouth</t>
  </si>
  <si>
    <t>tX507sB</t>
  </si>
  <si>
    <t>Rivaparin65</t>
  </si>
  <si>
    <t>Dry mouth, Constipation, Insomnia</t>
  </si>
  <si>
    <t>mV470lw</t>
  </si>
  <si>
    <t>Virastatin21</t>
  </si>
  <si>
    <t>Insomnia, Headache</t>
  </si>
  <si>
    <t>Ta281TL</t>
  </si>
  <si>
    <t>Cefcillin20</t>
  </si>
  <si>
    <t>Diarrhea, Blurred vision, Dry mouth</t>
  </si>
  <si>
    <t>zu167hg</t>
  </si>
  <si>
    <t>Cefparin47</t>
  </si>
  <si>
    <t>Fatigue, Rash, Dry mouth</t>
  </si>
  <si>
    <t>cZ885gW</t>
  </si>
  <si>
    <t>Loxovir13</t>
  </si>
  <si>
    <t>QH010DN</t>
  </si>
  <si>
    <t>Seroxetine80</t>
  </si>
  <si>
    <t>Dry mouth, Diarrhea, Rash</t>
  </si>
  <si>
    <t>bI459Wx</t>
  </si>
  <si>
    <t>Daxoparin14</t>
  </si>
  <si>
    <t>Insomnia, Dizziness</t>
  </si>
  <si>
    <t>CG289uI</t>
  </si>
  <si>
    <t>Rivacillin95</t>
  </si>
  <si>
    <t>OO645As</t>
  </si>
  <si>
    <t>Loxocillin65</t>
  </si>
  <si>
    <t>QA464LE</t>
  </si>
  <si>
    <t>Seroxetine61</t>
  </si>
  <si>
    <t>Headache, Blurred vision, Dry mouth</t>
  </si>
  <si>
    <t>UW293pC</t>
  </si>
  <si>
    <t>Amoxzepam72</t>
  </si>
  <si>
    <t>nM847qb</t>
  </si>
  <si>
    <t>Daxomab89</t>
  </si>
  <si>
    <t>fy680sP</t>
  </si>
  <si>
    <t>Rivavir82</t>
  </si>
  <si>
    <t>Fatigue, Rash, Diarrhea</t>
  </si>
  <si>
    <t>Hy005fr</t>
  </si>
  <si>
    <t>Seromab43</t>
  </si>
  <si>
    <t>jK964jD</t>
  </si>
  <si>
    <t>Rivazepam28</t>
  </si>
  <si>
    <t>Cz759VU</t>
  </si>
  <si>
    <t>Viracillin42</t>
  </si>
  <si>
    <t>LL315Ge</t>
  </si>
  <si>
    <t>Amoxzole12</t>
  </si>
  <si>
    <t>Insomnia, Nausea, Dry mouth</t>
  </si>
  <si>
    <t>Pi951HS</t>
  </si>
  <si>
    <t>Viravir93</t>
  </si>
  <si>
    <t>Dry mouth, Fatigue, Dizziness</t>
  </si>
  <si>
    <t>QA964lc</t>
  </si>
  <si>
    <t>Loxodipine25</t>
  </si>
  <si>
    <t>sF155LD</t>
  </si>
  <si>
    <t>Mecoprofen66</t>
  </si>
  <si>
    <t>Rash, Headache, Diarrhea</t>
  </si>
  <si>
    <t>bK825so</t>
  </si>
  <si>
    <t>Mecodipine47</t>
  </si>
  <si>
    <t>Dry mouth, Headache</t>
  </si>
  <si>
    <t>Aq005NO</t>
  </si>
  <si>
    <t>Seroxetine76</t>
  </si>
  <si>
    <t>uW216yG</t>
  </si>
  <si>
    <t>Fenoxetine25</t>
  </si>
  <si>
    <t>Rz381kY</t>
  </si>
  <si>
    <t>Mecozepam73</t>
  </si>
  <si>
    <t>Ny374eM</t>
  </si>
  <si>
    <t>Amoxxetine51</t>
  </si>
  <si>
    <t>Sp942Tz</t>
  </si>
  <si>
    <t>Amoxcillin68</t>
  </si>
  <si>
    <t>sW575Lt</t>
  </si>
  <si>
    <t>Serozepam56</t>
  </si>
  <si>
    <t>Nausea, Constipation, Headache</t>
  </si>
  <si>
    <t>zZ655Qu</t>
  </si>
  <si>
    <t>Mecozepam53</t>
  </si>
  <si>
    <t>MM617vi</t>
  </si>
  <si>
    <t>Cefxetine39</t>
  </si>
  <si>
    <t>Constipation, Dry mouth, Dizziness</t>
  </si>
  <si>
    <t>GL354qE</t>
  </si>
  <si>
    <t>Seroparin13</t>
  </si>
  <si>
    <t>If470KD</t>
  </si>
  <si>
    <t>Cefprofen72</t>
  </si>
  <si>
    <t>If534bv</t>
  </si>
  <si>
    <t>Serostatin81</t>
  </si>
  <si>
    <t>Blurred vision, Dizziness, Nausea</t>
  </si>
  <si>
    <t>gQ256mS</t>
  </si>
  <si>
    <t>Amoxvir92</t>
  </si>
  <si>
    <t>Gl212wy</t>
  </si>
  <si>
    <t>Rivaxetine25</t>
  </si>
  <si>
    <t>IJ244qh</t>
  </si>
  <si>
    <t>Cefcillin28</t>
  </si>
  <si>
    <t>Lc814Hb</t>
  </si>
  <si>
    <t>Amoxmab95</t>
  </si>
  <si>
    <t>Rash, Nausea, Constipation</t>
  </si>
  <si>
    <t>xm665pC</t>
  </si>
  <si>
    <t>Zylovir65</t>
  </si>
  <si>
    <t>zx787Ch</t>
  </si>
  <si>
    <t>Cefzepam59</t>
  </si>
  <si>
    <t>tM606xZ</t>
  </si>
  <si>
    <t>Rivazole96</t>
  </si>
  <si>
    <t>oJ735df</t>
  </si>
  <si>
    <t>Cefparin26</t>
  </si>
  <si>
    <t>Headache, Nausea, Rash</t>
  </si>
  <si>
    <t>SH953FI</t>
  </si>
  <si>
    <t>Daxozole19</t>
  </si>
  <si>
    <t>vA618UR</t>
  </si>
  <si>
    <t>Mecoprofen82</t>
  </si>
  <si>
    <t>Pg466Af</t>
  </si>
  <si>
    <t>Daxozole45</t>
  </si>
  <si>
    <t>Diarrhea, Constipation, Blurred vision</t>
  </si>
  <si>
    <t>xQ223Fv</t>
  </si>
  <si>
    <t>Rivazepam60</t>
  </si>
  <si>
    <t>Diarrhea, Rash</t>
  </si>
  <si>
    <t>YU818Ua</t>
  </si>
  <si>
    <t>Rivaxetine80</t>
  </si>
  <si>
    <t>Diarrhea, Constipation</t>
  </si>
  <si>
    <t>CX642Uu</t>
  </si>
  <si>
    <t>Mecostatin56</t>
  </si>
  <si>
    <t>yX620SW</t>
  </si>
  <si>
    <t>Loxovir33</t>
  </si>
  <si>
    <t>Rash, Insomnia, Dizziness</t>
  </si>
  <si>
    <t>gx885Ob</t>
  </si>
  <si>
    <t>Daxoxetine25</t>
  </si>
  <si>
    <t>kY353sP</t>
  </si>
  <si>
    <t>Zylozepam11</t>
  </si>
  <si>
    <t>Diarrhea, Dizziness, Constipation</t>
  </si>
  <si>
    <t>DM627ui</t>
  </si>
  <si>
    <t>Loxovir74</t>
  </si>
  <si>
    <t>Nausea, Rash, Constipation</t>
  </si>
  <si>
    <t>UP313Gz</t>
  </si>
  <si>
    <t>Daxoprofen78</t>
  </si>
  <si>
    <t>ZV922pW</t>
  </si>
  <si>
    <t>Mecocillin74</t>
  </si>
  <si>
    <t>an965iJ</t>
  </si>
  <si>
    <t>Rivavir90</t>
  </si>
  <si>
    <t>OW371QR</t>
  </si>
  <si>
    <t>Viraparin59</t>
  </si>
  <si>
    <t>Insomnia, Headache, Diarrhea</t>
  </si>
  <si>
    <t>gL637zH</t>
  </si>
  <si>
    <t>Seroparin65</t>
  </si>
  <si>
    <t>Wy995aB</t>
  </si>
  <si>
    <t>Amoxparin34</t>
  </si>
  <si>
    <t>Constipation, Dizziness</t>
  </si>
  <si>
    <t>fS744Cu</t>
  </si>
  <si>
    <t>Amoxprofen11</t>
  </si>
  <si>
    <t>os953bM</t>
  </si>
  <si>
    <t>Loxomab75</t>
  </si>
  <si>
    <t>Fatigue, Blurred vision, Rash</t>
  </si>
  <si>
    <t>YC898eS</t>
  </si>
  <si>
    <t>Amoxxetine90</t>
  </si>
  <si>
    <t>NL056fR</t>
  </si>
  <si>
    <t>Cefparin36</t>
  </si>
  <si>
    <t>gn245CY</t>
  </si>
  <si>
    <t>Serocillin78</t>
  </si>
  <si>
    <t>Diarrhea, Blurred vision</t>
  </si>
  <si>
    <t>eH940mm</t>
  </si>
  <si>
    <t>Fenocillin55</t>
  </si>
  <si>
    <t>fF959DD</t>
  </si>
  <si>
    <t>Fenodipine73</t>
  </si>
  <si>
    <t>Rash, Headache, Blurred vision</t>
  </si>
  <si>
    <t>gV529qs</t>
  </si>
  <si>
    <t>Mecocillin92</t>
  </si>
  <si>
    <t>mV524jw</t>
  </si>
  <si>
    <t>Rivavir37</t>
  </si>
  <si>
    <t>OP486ny</t>
  </si>
  <si>
    <t>Zylozepam43</t>
  </si>
  <si>
    <t>Insomnia, Dizziness, Rash</t>
  </si>
  <si>
    <t>DY885BK</t>
  </si>
  <si>
    <t>Serostatin53</t>
  </si>
  <si>
    <t>Be742ul</t>
  </si>
  <si>
    <t>Loxodipine47</t>
  </si>
  <si>
    <t>ez147uw</t>
  </si>
  <si>
    <t>Daxovir41</t>
  </si>
  <si>
    <t>Nausea, Insomnia</t>
  </si>
  <si>
    <t>QE584Vt</t>
  </si>
  <si>
    <t>Loxodipine83</t>
  </si>
  <si>
    <t>Fw379ZR</t>
  </si>
  <si>
    <t>Zylocillin21</t>
  </si>
  <si>
    <t>rL192wt</t>
  </si>
  <si>
    <t>Serocillin30</t>
  </si>
  <si>
    <t>Headache, Constipation, Rash</t>
  </si>
  <si>
    <t>Aa826As</t>
  </si>
  <si>
    <t>Viramab94</t>
  </si>
  <si>
    <t>uu828xi</t>
  </si>
  <si>
    <t>Zylovir49</t>
  </si>
  <si>
    <t>MF046VH</t>
  </si>
  <si>
    <t>Serodipine22</t>
  </si>
  <si>
    <t>cN220JY</t>
  </si>
  <si>
    <t>Mecodipine45</t>
  </si>
  <si>
    <t>BA366Zz</t>
  </si>
  <si>
    <t>Rivadipine65</t>
  </si>
  <si>
    <t>Dizziness, Rash, Fatigue</t>
  </si>
  <si>
    <t>qy003tg</t>
  </si>
  <si>
    <t>Cefcillin84</t>
  </si>
  <si>
    <t>GW519YV</t>
  </si>
  <si>
    <t>Rivadipine53</t>
  </si>
  <si>
    <t>Constipation, Diarrhea, Insomnia</t>
  </si>
  <si>
    <t>WX254dK</t>
  </si>
  <si>
    <t>Virazole78</t>
  </si>
  <si>
    <t>hw622Na</t>
  </si>
  <si>
    <t>Loxoxetine52</t>
  </si>
  <si>
    <t>RG167TR</t>
  </si>
  <si>
    <t>Rivadipine66</t>
  </si>
  <si>
    <t>Xz961nX</t>
  </si>
  <si>
    <t>Cefxetine80</t>
  </si>
  <si>
    <t>AA379bc</t>
  </si>
  <si>
    <t>Daxocillin78</t>
  </si>
  <si>
    <t>Blurred vision, Insomnia, Dry mouth</t>
  </si>
  <si>
    <t>oy771rw</t>
  </si>
  <si>
    <t>Virastatin59</t>
  </si>
  <si>
    <t>yV979XL</t>
  </si>
  <si>
    <t>Seromab81</t>
  </si>
  <si>
    <t>Dizziness, Dry mouth, Headache</t>
  </si>
  <si>
    <t>SP142vk</t>
  </si>
  <si>
    <t>Viraxetine49</t>
  </si>
  <si>
    <t>wI724HD</t>
  </si>
  <si>
    <t>Rivazepam15</t>
  </si>
  <si>
    <t>Constipation, Headache, Fatigue</t>
  </si>
  <si>
    <t>Dc623Jt</t>
  </si>
  <si>
    <t>Rivavir97</t>
  </si>
  <si>
    <t>Ya755kA</t>
  </si>
  <si>
    <t>Amoxxetine63</t>
  </si>
  <si>
    <t>tJ069Gl</t>
  </si>
  <si>
    <t>Amoxparin59</t>
  </si>
  <si>
    <t>Constipation, Headache</t>
  </si>
  <si>
    <t>jh873BQ</t>
  </si>
  <si>
    <t>Amoxprofen96</t>
  </si>
  <si>
    <t>Nausea, Dizziness</t>
  </si>
  <si>
    <t>jR959lp</t>
  </si>
  <si>
    <t>Serodipine67</t>
  </si>
  <si>
    <t>BB358uq</t>
  </si>
  <si>
    <t>Amoxmab12</t>
  </si>
  <si>
    <t>KS645no</t>
  </si>
  <si>
    <t>Cefstatin83</t>
  </si>
  <si>
    <t>Dizziness, Dry mouth</t>
  </si>
  <si>
    <t>FU427Ep</t>
  </si>
  <si>
    <t>Fenoprofen20</t>
  </si>
  <si>
    <t>dE895tn</t>
  </si>
  <si>
    <t>Seroxetine74</t>
  </si>
  <si>
    <t>Dry mouth, Nausea, Constipation</t>
  </si>
  <si>
    <t>DQ526BL</t>
  </si>
  <si>
    <t>Zyloparin27</t>
  </si>
  <si>
    <t>Dizziness, Rash, Dry mouth</t>
  </si>
  <si>
    <t>AB720HY</t>
  </si>
  <si>
    <t>Daxovir47</t>
  </si>
  <si>
    <t>se642ut</t>
  </si>
  <si>
    <t>Cefzepam18</t>
  </si>
  <si>
    <t>Wo124Qn</t>
  </si>
  <si>
    <t>Mecodipine13</t>
  </si>
  <si>
    <t>Jr367yb</t>
  </si>
  <si>
    <t>Mecoprofen87</t>
  </si>
  <si>
    <t>Fatigue, Diarrhea, Dry mouth</t>
  </si>
  <si>
    <t>mm924qP</t>
  </si>
  <si>
    <t>Rivazole45</t>
  </si>
  <si>
    <t>Xp080qr</t>
  </si>
  <si>
    <t>Mecostatin29</t>
  </si>
  <si>
    <t>Dry mouth, Headache, Blurred vision</t>
  </si>
  <si>
    <t>sD982Li</t>
  </si>
  <si>
    <t>Viraxetine93</t>
  </si>
  <si>
    <t>Constipation, Dry mouth, Headache</t>
  </si>
  <si>
    <t>Qq959pz</t>
  </si>
  <si>
    <t>Rivamab76</t>
  </si>
  <si>
    <t>Rash, Fatigue, Insomnia</t>
  </si>
  <si>
    <t>PV817wj</t>
  </si>
  <si>
    <t>Daxostatin16</t>
  </si>
  <si>
    <t>fk111oS</t>
  </si>
  <si>
    <t>Zyloprofen49</t>
  </si>
  <si>
    <t>Fatigue, Insomnia</t>
  </si>
  <si>
    <t>lT936wf</t>
  </si>
  <si>
    <t>Fenodipine30</t>
  </si>
  <si>
    <t>Dizziness, Blurred vision, Nausea</t>
  </si>
  <si>
    <t>AD622VK</t>
  </si>
  <si>
    <t>Rivastatin62</t>
  </si>
  <si>
    <t>Headache, Dizziness</t>
  </si>
  <si>
    <t>VM320vn</t>
  </si>
  <si>
    <t>Fenocillin17</t>
  </si>
  <si>
    <t>Diarrhea, Constipation, Rash</t>
  </si>
  <si>
    <t>UW304iC</t>
  </si>
  <si>
    <t>Viracillin74</t>
  </si>
  <si>
    <t>Rash, Headache, Insomnia</t>
  </si>
  <si>
    <t>ON984NJ</t>
  </si>
  <si>
    <t>Viramab48</t>
  </si>
  <si>
    <t>IX499hv</t>
  </si>
  <si>
    <t>Virazole10</t>
  </si>
  <si>
    <t>Zi358xf</t>
  </si>
  <si>
    <t>Fenozole11</t>
  </si>
  <si>
    <t>cF145UN</t>
  </si>
  <si>
    <t>Fenoprofen96</t>
  </si>
  <si>
    <t>Blurred vision, Insomnia, Fatigue</t>
  </si>
  <si>
    <t>xI049ti</t>
  </si>
  <si>
    <t>Zylozepam70</t>
  </si>
  <si>
    <t>Vj886Tc</t>
  </si>
  <si>
    <t>Fenozole34</t>
  </si>
  <si>
    <t>lg016Mo</t>
  </si>
  <si>
    <t>Amoxprofen51</t>
  </si>
  <si>
    <t>Headache, Fatigue</t>
  </si>
  <si>
    <t>Rp443lb</t>
  </si>
  <si>
    <t>Viraxetine23</t>
  </si>
  <si>
    <t>Kv429EK</t>
  </si>
  <si>
    <t>Cefcillin77</t>
  </si>
  <si>
    <t>Diarrhea, Nausea, Blurred vision</t>
  </si>
  <si>
    <t>cS314lX</t>
  </si>
  <si>
    <t>Amoxmab86</t>
  </si>
  <si>
    <t>Dizziness, Constipation, Fatigue</t>
  </si>
  <si>
    <t>qS918kl</t>
  </si>
  <si>
    <t>Virazepam11</t>
  </si>
  <si>
    <t>Fatigue, Constipation, Rash</t>
  </si>
  <si>
    <t>jo025ON</t>
  </si>
  <si>
    <t>Loxomab50</t>
  </si>
  <si>
    <t>Insomnia, Fatigue, Nausea</t>
  </si>
  <si>
    <t>hj450KS</t>
  </si>
  <si>
    <t>Mecodipine38</t>
  </si>
  <si>
    <t>zr688UY</t>
  </si>
  <si>
    <t>Mecodipine85</t>
  </si>
  <si>
    <t>Fatigue, Constipation, Diarrhea</t>
  </si>
  <si>
    <t>Hz820BR</t>
  </si>
  <si>
    <t>Daxomab50</t>
  </si>
  <si>
    <t>Blurred vision, Dry mouth, Insomnia</t>
  </si>
  <si>
    <t>yf507Bs</t>
  </si>
  <si>
    <t>Cefparin99</t>
  </si>
  <si>
    <t>Insomnia, Fatigue</t>
  </si>
  <si>
    <t>TL582RM</t>
  </si>
  <si>
    <t>Zylovir34</t>
  </si>
  <si>
    <t>Ox920Ps</t>
  </si>
  <si>
    <t>Mecocillin79</t>
  </si>
  <si>
    <t>vb849bC</t>
  </si>
  <si>
    <t>Viraprofen58</t>
  </si>
  <si>
    <t>Insomnia, Constipation</t>
  </si>
  <si>
    <t>zU630Ih</t>
  </si>
  <si>
    <t>Seromab41</t>
  </si>
  <si>
    <t>GH662GB</t>
  </si>
  <si>
    <t>Zylocillin95</t>
  </si>
  <si>
    <t>Headache, Dry mouth, Blurred vision</t>
  </si>
  <si>
    <t>jQ822xo</t>
  </si>
  <si>
    <t>Cefvir18</t>
  </si>
  <si>
    <t>gi873RP</t>
  </si>
  <si>
    <t>Virazepam13</t>
  </si>
  <si>
    <t>Dry mouth, Constipation</t>
  </si>
  <si>
    <t>jQ185cm</t>
  </si>
  <si>
    <t>Mecocillin28</t>
  </si>
  <si>
    <t>YW542oT</t>
  </si>
  <si>
    <t>Cefstatin14</t>
  </si>
  <si>
    <t>Dry mouth, Nausea, Fatigue</t>
  </si>
  <si>
    <t>kv285Ra</t>
  </si>
  <si>
    <t>Fenocillin66</t>
  </si>
  <si>
    <t>eT151IZ</t>
  </si>
  <si>
    <t>Daxoxetine14</t>
  </si>
  <si>
    <t>cP495mG</t>
  </si>
  <si>
    <t>Seroparin54</t>
  </si>
  <si>
    <t>Rb571Ba</t>
  </si>
  <si>
    <t>Zyloprofen51</t>
  </si>
  <si>
    <t>hb330Rg</t>
  </si>
  <si>
    <t>Virastatin58</t>
  </si>
  <si>
    <t>Rash, Constipation, Headache</t>
  </si>
  <si>
    <t>IC727mo</t>
  </si>
  <si>
    <t>Loxoparin46</t>
  </si>
  <si>
    <t>bg078dQ</t>
  </si>
  <si>
    <t>Fenoxetine54</t>
  </si>
  <si>
    <t>Dizziness, Nausea, Insomnia</t>
  </si>
  <si>
    <t>ES016Ze</t>
  </si>
  <si>
    <t>Cefmab70</t>
  </si>
  <si>
    <t>yz541pY</t>
  </si>
  <si>
    <t>Loxozole36</t>
  </si>
  <si>
    <t>Dry mouth, Fatigue</t>
  </si>
  <si>
    <t>VJ329qY</t>
  </si>
  <si>
    <t>Rivamab24</t>
  </si>
  <si>
    <t>Rash, Constipation, Fatigue</t>
  </si>
  <si>
    <t>FJ221fP</t>
  </si>
  <si>
    <t>Daxozepam71</t>
  </si>
  <si>
    <t>Headache, Blurred vision, Nausea</t>
  </si>
  <si>
    <t>Er138uV</t>
  </si>
  <si>
    <t>Fenovir49</t>
  </si>
  <si>
    <t>pY852UH</t>
  </si>
  <si>
    <t>Mecoxetine61</t>
  </si>
  <si>
    <t>Dizziness, Nausea, Blurred vision</t>
  </si>
  <si>
    <t>Jd220Rb</t>
  </si>
  <si>
    <t>Amoxzole29</t>
  </si>
  <si>
    <t>YA372oT</t>
  </si>
  <si>
    <t>Amoxparin89</t>
  </si>
  <si>
    <t>pE766cP</t>
  </si>
  <si>
    <t>Fenocillin45</t>
  </si>
  <si>
    <t>aL997CG</t>
  </si>
  <si>
    <t>Cefvir69</t>
  </si>
  <si>
    <t>kf979FO</t>
  </si>
  <si>
    <t>Rivadipine41</t>
  </si>
  <si>
    <t>Yq841Mn</t>
  </si>
  <si>
    <t>Rivaparin92</t>
  </si>
  <si>
    <t>Dizziness, Blurred vision</t>
  </si>
  <si>
    <t>VL424Jj</t>
  </si>
  <si>
    <t>Serovir89</t>
  </si>
  <si>
    <t>Dry mouth, Diarrhea, Blurred vision</t>
  </si>
  <si>
    <t>xo601OU</t>
  </si>
  <si>
    <t>Amoxdipine80</t>
  </si>
  <si>
    <t>tZ526Qy</t>
  </si>
  <si>
    <t>Rivacillin75</t>
  </si>
  <si>
    <t>qg426IF</t>
  </si>
  <si>
    <t>Zylozole89</t>
  </si>
  <si>
    <t>Fatigue, Dizziness</t>
  </si>
  <si>
    <t>Pl642Tk</t>
  </si>
  <si>
    <t>Cefmab21</t>
  </si>
  <si>
    <t>Dizziness, Constipation, Nausea</t>
  </si>
  <si>
    <t>Xj451hK</t>
  </si>
  <si>
    <t>Zylozole82</t>
  </si>
  <si>
    <t>Fe917RA</t>
  </si>
  <si>
    <t>Daxozole29</t>
  </si>
  <si>
    <t>Blurred vision, Fatigue</t>
  </si>
  <si>
    <t>EF933XI</t>
  </si>
  <si>
    <t>Viraxetine58</t>
  </si>
  <si>
    <t>fv257Mr</t>
  </si>
  <si>
    <t>Mecomab65</t>
  </si>
  <si>
    <t>Constipation, Insomnia, Nausea</t>
  </si>
  <si>
    <t>hv762si</t>
  </si>
  <si>
    <t>Zyloparin37</t>
  </si>
  <si>
    <t>Fatigue, Constipation</t>
  </si>
  <si>
    <t>dq483zT</t>
  </si>
  <si>
    <t>Serovir59</t>
  </si>
  <si>
    <t>mK930gP</t>
  </si>
  <si>
    <t>Zyloprofen19</t>
  </si>
  <si>
    <t>Headache, Diarrhea, Blurred vision</t>
  </si>
  <si>
    <t>TI475YE</t>
  </si>
  <si>
    <t>Mecoparin30</t>
  </si>
  <si>
    <t>Dizziness, Blurred vision, Diarrhea</t>
  </si>
  <si>
    <t>WG706bo</t>
  </si>
  <si>
    <t>Loxoprofen85</t>
  </si>
  <si>
    <t>nl738Gy</t>
  </si>
  <si>
    <t>Serovir80</t>
  </si>
  <si>
    <t>vv631XP</t>
  </si>
  <si>
    <t>Cefprofen96</t>
  </si>
  <si>
    <t>Lt626Kj</t>
  </si>
  <si>
    <t>Viracillin47</t>
  </si>
  <si>
    <t>ja035PC</t>
  </si>
  <si>
    <t>Rivadipine99</t>
  </si>
  <si>
    <t>tY711Dj</t>
  </si>
  <si>
    <t>Serovir17</t>
  </si>
  <si>
    <t>IG016BX</t>
  </si>
  <si>
    <t>Serozepam71</t>
  </si>
  <si>
    <t>NJ955QO</t>
  </si>
  <si>
    <t>Cefprofen55</t>
  </si>
  <si>
    <t>Dry mouth, Rash, Constipation</t>
  </si>
  <si>
    <t>Ot485NM</t>
  </si>
  <si>
    <t>Cefxetine92</t>
  </si>
  <si>
    <t>Blurred vision, Diarrhea</t>
  </si>
  <si>
    <t>mo977gf</t>
  </si>
  <si>
    <t>Rivastatin37</t>
  </si>
  <si>
    <t>Rash, Headache, Dizziness</t>
  </si>
  <si>
    <t>jb612VU</t>
  </si>
  <si>
    <t>Virazole71</t>
  </si>
  <si>
    <t>IE649Qv</t>
  </si>
  <si>
    <t>Rivamab22</t>
  </si>
  <si>
    <t>fE865Ym</t>
  </si>
  <si>
    <t>Amoxcillin98</t>
  </si>
  <si>
    <t>Insomnia, Dry mouth</t>
  </si>
  <si>
    <t>AF086st</t>
  </si>
  <si>
    <t>Cefzepam94</t>
  </si>
  <si>
    <t>Sj988PP</t>
  </si>
  <si>
    <t>Daxodipine26</t>
  </si>
  <si>
    <t>sh086MJ</t>
  </si>
  <si>
    <t>Zylocillin70</t>
  </si>
  <si>
    <t>Fatigue, Blurred vision</t>
  </si>
  <si>
    <t>dX668ic</t>
  </si>
  <si>
    <t>Loxoparin13</t>
  </si>
  <si>
    <t>Mi447JQ</t>
  </si>
  <si>
    <t>Cefmab84</t>
  </si>
  <si>
    <t>xe786KZ</t>
  </si>
  <si>
    <t>Mecomab57</t>
  </si>
  <si>
    <t>Headache, Insomnia, Blurred vision</t>
  </si>
  <si>
    <t>Zg440Vo</t>
  </si>
  <si>
    <t>Zylovir94</t>
  </si>
  <si>
    <t>kD883LK</t>
  </si>
  <si>
    <t>Serostatin24</t>
  </si>
  <si>
    <t>tj420Oz</t>
  </si>
  <si>
    <t>Seroprofen34</t>
  </si>
  <si>
    <t>Rash, Headache</t>
  </si>
  <si>
    <t>kk285ER</t>
  </si>
  <si>
    <t>Rash, Insomnia</t>
  </si>
  <si>
    <t>Vg820XN</t>
  </si>
  <si>
    <t>Virastatin26</t>
  </si>
  <si>
    <t>HD033ap</t>
  </si>
  <si>
    <t>Rivacillin82</t>
  </si>
  <si>
    <t>Dry mouth, Nausea, Blurred vision</t>
  </si>
  <si>
    <t>oj536Tt</t>
  </si>
  <si>
    <t>Cefdipine14</t>
  </si>
  <si>
    <t>Nausea, Dizziness, Headache</t>
  </si>
  <si>
    <t>nZ221wP</t>
  </si>
  <si>
    <t>Zylostatin93</t>
  </si>
  <si>
    <t>Diarrhea, Nausea, Rash</t>
  </si>
  <si>
    <t>vL242pe</t>
  </si>
  <si>
    <t>Fenoxetine95</t>
  </si>
  <si>
    <t>lx062VR</t>
  </si>
  <si>
    <t>Serocillin95</t>
  </si>
  <si>
    <t>Insomnia, Rash, Nausea</t>
  </si>
  <si>
    <t>FT889hV</t>
  </si>
  <si>
    <t>Cefxetine60</t>
  </si>
  <si>
    <t>Tq856FS</t>
  </si>
  <si>
    <t>Viraxetine36</t>
  </si>
  <si>
    <t>Ku675rq</t>
  </si>
  <si>
    <t>Loxodipine33</t>
  </si>
  <si>
    <t>Eq486zQ</t>
  </si>
  <si>
    <t>Cefprofen67</t>
  </si>
  <si>
    <t>Diarrhea, Blurred vision, Rash</t>
  </si>
  <si>
    <t>Tm972Rm</t>
  </si>
  <si>
    <t>Zyloprofen25</t>
  </si>
  <si>
    <t>WS039YE</t>
  </si>
  <si>
    <t>Mecoparin38</t>
  </si>
  <si>
    <t>Sz182GF</t>
  </si>
  <si>
    <t>Fenozepam61</t>
  </si>
  <si>
    <t>Dizziness, Nausea</t>
  </si>
  <si>
    <t>rT876gL</t>
  </si>
  <si>
    <t>Zyloxetine98</t>
  </si>
  <si>
    <t>Fn547Uw</t>
  </si>
  <si>
    <t>Fenozepam26</t>
  </si>
  <si>
    <t>Fatigue, Dizziness, Blurred vision</t>
  </si>
  <si>
    <t>Vi993ld</t>
  </si>
  <si>
    <t>Viraprofen94</t>
  </si>
  <si>
    <t>Blurred vision, Headache</t>
  </si>
  <si>
    <t>xg908Th</t>
  </si>
  <si>
    <t>Fenozepam78</t>
  </si>
  <si>
    <t>Constipation, Nausea, Fatigue</t>
  </si>
  <si>
    <t>LK917nU</t>
  </si>
  <si>
    <t>Serocillin26</t>
  </si>
  <si>
    <t>Constipation, Insomnia, Dizziness</t>
  </si>
  <si>
    <t>Lm459PY</t>
  </si>
  <si>
    <t>Amoxprofen97</t>
  </si>
  <si>
    <t>gb876vB</t>
  </si>
  <si>
    <t>Loxoparin94</t>
  </si>
  <si>
    <t>gz581aM</t>
  </si>
  <si>
    <t>Daxoxetine74</t>
  </si>
  <si>
    <t>tg304oL</t>
  </si>
  <si>
    <t>Amoxzole45</t>
  </si>
  <si>
    <t>Ie818Ks</t>
  </si>
  <si>
    <t>Zylozole96</t>
  </si>
  <si>
    <t>Dq524qy</t>
  </si>
  <si>
    <t>Amoxparin41</t>
  </si>
  <si>
    <t>Dry mouth, Constipation, Blurred vision</t>
  </si>
  <si>
    <t>xv244dW</t>
  </si>
  <si>
    <t>Fenomab73</t>
  </si>
  <si>
    <t>dz227cv</t>
  </si>
  <si>
    <t>Serozole98</t>
  </si>
  <si>
    <t>Dry mouth, Blurred vision</t>
  </si>
  <si>
    <t>lV271hb</t>
  </si>
  <si>
    <t>Loxoxetine33</t>
  </si>
  <si>
    <t>AP858bi</t>
  </si>
  <si>
    <t>Mecodipine78</t>
  </si>
  <si>
    <t>wN493oF</t>
  </si>
  <si>
    <t>Rivaprofen49</t>
  </si>
  <si>
    <t>zK875dx</t>
  </si>
  <si>
    <t>Fenostatin84</t>
  </si>
  <si>
    <t>KG333pp</t>
  </si>
  <si>
    <t>Rivaprofen80</t>
  </si>
  <si>
    <t>hx834dB</t>
  </si>
  <si>
    <t>Viradipine61</t>
  </si>
  <si>
    <t>JP029dn</t>
  </si>
  <si>
    <t>Fenoparin86</t>
  </si>
  <si>
    <t>dH716gu</t>
  </si>
  <si>
    <t>Amoxvir18</t>
  </si>
  <si>
    <t>Blurred vision, Dizziness</t>
  </si>
  <si>
    <t>QW040CF</t>
  </si>
  <si>
    <t>Viraxetine28</t>
  </si>
  <si>
    <t>AU459Zm</t>
  </si>
  <si>
    <t>Cefxetine20</t>
  </si>
  <si>
    <t>HJ262mH</t>
  </si>
  <si>
    <t>Seroxetine31</t>
  </si>
  <si>
    <t>Diarrhea, Constipation, Dizziness</t>
  </si>
  <si>
    <t>Bi225JE</t>
  </si>
  <si>
    <t>Amoxxetine87</t>
  </si>
  <si>
    <t>lt290Ft</t>
  </si>
  <si>
    <t>Daxozole34</t>
  </si>
  <si>
    <t>Headache, Insomnia</t>
  </si>
  <si>
    <t>xO834OM</t>
  </si>
  <si>
    <t>Zylostatin92</t>
  </si>
  <si>
    <t>uY049GG</t>
  </si>
  <si>
    <t>Serozepam90</t>
  </si>
  <si>
    <t>FK827Pa</t>
  </si>
  <si>
    <t>Fenoprofen93</t>
  </si>
  <si>
    <t>Ip405Pb</t>
  </si>
  <si>
    <t>Rivaxetine90</t>
  </si>
  <si>
    <t>IZ637Ty</t>
  </si>
  <si>
    <t>Daxozole40</t>
  </si>
  <si>
    <t>AJ770xv</t>
  </si>
  <si>
    <t>Rivadipine90</t>
  </si>
  <si>
    <t>Jf752Al</t>
  </si>
  <si>
    <t>Zylostatin42</t>
  </si>
  <si>
    <t>td749Xt</t>
  </si>
  <si>
    <t>Serocillin90</t>
  </si>
  <si>
    <t>OB621MZ</t>
  </si>
  <si>
    <t>Loxomab92</t>
  </si>
  <si>
    <t>Jl293xj</t>
  </si>
  <si>
    <t>Loxodipine45</t>
  </si>
  <si>
    <t>Diarrhea, Fatigue, Constipation</t>
  </si>
  <si>
    <t>ry456NR</t>
  </si>
  <si>
    <t>Loxostatin62</t>
  </si>
  <si>
    <t>Headache, Fatigue, Dry mouth</t>
  </si>
  <si>
    <t>cc207cy</t>
  </si>
  <si>
    <t>Rivazole52</t>
  </si>
  <si>
    <t>AB824Te</t>
  </si>
  <si>
    <t>Serozepam72</t>
  </si>
  <si>
    <t>Diarrhea, Blurred vision, Insomnia</t>
  </si>
  <si>
    <t>Ci280EK</t>
  </si>
  <si>
    <t>Viraprofen25</t>
  </si>
  <si>
    <t>ZO544XT</t>
  </si>
  <si>
    <t>Viracillin43</t>
  </si>
  <si>
    <t>vm355Ei</t>
  </si>
  <si>
    <t>Amoxparin93</t>
  </si>
  <si>
    <t>eG705Xk</t>
  </si>
  <si>
    <t>Amoxvir81</t>
  </si>
  <si>
    <t>zn701cL</t>
  </si>
  <si>
    <t>Daxoparin23</t>
  </si>
  <si>
    <t>NO295Yf</t>
  </si>
  <si>
    <t>Amoxparin16</t>
  </si>
  <si>
    <t>Dry mouth, Diarrhea</t>
  </si>
  <si>
    <t>ry063PE</t>
  </si>
  <si>
    <t>Daxovir89</t>
  </si>
  <si>
    <t>Constipation, Fatigue, Dry mouth</t>
  </si>
  <si>
    <t>uj758mD</t>
  </si>
  <si>
    <t>Zylomab58</t>
  </si>
  <si>
    <t>Diarrhea, Fatigue</t>
  </si>
  <si>
    <t>HT104cP</t>
  </si>
  <si>
    <t>Amoxmab22</t>
  </si>
  <si>
    <t>Nausea, Dry mouth, Constipation</t>
  </si>
  <si>
    <t>FJ824DN</t>
  </si>
  <si>
    <t>Rivastatin32</t>
  </si>
  <si>
    <t>Ma039dH</t>
  </si>
  <si>
    <t>Zylostatin60</t>
  </si>
  <si>
    <t>fc840ho</t>
  </si>
  <si>
    <t>Fenozepam42</t>
  </si>
  <si>
    <t>Dry mouth, Headache, Rash</t>
  </si>
  <si>
    <t>WT527wy</t>
  </si>
  <si>
    <t>Fenostatin78</t>
  </si>
  <si>
    <t>eN014pt</t>
  </si>
  <si>
    <t>Rivaparin20</t>
  </si>
  <si>
    <t>Diarrhea, Nausea, Headache</t>
  </si>
  <si>
    <t>rZ779cB</t>
  </si>
  <si>
    <t>Mecovir64</t>
  </si>
  <si>
    <t>St257UN</t>
  </si>
  <si>
    <t>Virastatin63</t>
  </si>
  <si>
    <t>cU279Jz</t>
  </si>
  <si>
    <t>Cefdipine80</t>
  </si>
  <si>
    <t>vm575Ka</t>
  </si>
  <si>
    <t>Daxomab11</t>
  </si>
  <si>
    <t>In813fa</t>
  </si>
  <si>
    <t>Daxoxetine27</t>
  </si>
  <si>
    <t>kO652NJ</t>
  </si>
  <si>
    <t>Amoxxetine23</t>
  </si>
  <si>
    <t>Headache, Insomnia, Nausea</t>
  </si>
  <si>
    <t>fm989fT</t>
  </si>
  <si>
    <t>Mecozepam16</t>
  </si>
  <si>
    <t>mA721wO</t>
  </si>
  <si>
    <t>Mecodipine88</t>
  </si>
  <si>
    <t>ow507et</t>
  </si>
  <si>
    <t>Seroprofen94</t>
  </si>
  <si>
    <t>lK727Bm</t>
  </si>
  <si>
    <t>Daxozepam65</t>
  </si>
  <si>
    <t>yW717ju</t>
  </si>
  <si>
    <t>Loxoxetine44</t>
  </si>
  <si>
    <t>oL375JG</t>
  </si>
  <si>
    <t>Amoxprofen88</t>
  </si>
  <si>
    <t>Headache, Insomnia, Diarrhea</t>
  </si>
  <si>
    <t>WX817uY</t>
  </si>
  <si>
    <t>Daxomab52</t>
  </si>
  <si>
    <t>Zy619to</t>
  </si>
  <si>
    <t>Amoxcillin65</t>
  </si>
  <si>
    <t>IM146ZI</t>
  </si>
  <si>
    <t>Cefzole11</t>
  </si>
  <si>
    <t>dS088AX</t>
  </si>
  <si>
    <t>Viradipine65</t>
  </si>
  <si>
    <t>Fatigue, Diarrhea, Headache</t>
  </si>
  <si>
    <t>jU101Xa</t>
  </si>
  <si>
    <t>Daxozepam86</t>
  </si>
  <si>
    <t>Headache, Dizziness, Insomnia</t>
  </si>
  <si>
    <t>Jk962Qv</t>
  </si>
  <si>
    <t>Amoxprofen67</t>
  </si>
  <si>
    <t>Xh263wJ</t>
  </si>
  <si>
    <t>Mecoxetine64</t>
  </si>
  <si>
    <t>Cv609OX</t>
  </si>
  <si>
    <t>Zylozole29</t>
  </si>
  <si>
    <t>Constipation, Insomnia</t>
  </si>
  <si>
    <t>rV525CM</t>
  </si>
  <si>
    <t>Zylomab53</t>
  </si>
  <si>
    <t>Dl805Ah</t>
  </si>
  <si>
    <t>Cefzole35</t>
  </si>
  <si>
    <t>rN807Ut</t>
  </si>
  <si>
    <t>Zylovir85</t>
  </si>
  <si>
    <t>Headache, Diarrhea, Rash</t>
  </si>
  <si>
    <t>Hm315yl</t>
  </si>
  <si>
    <t>Amoxzole56</t>
  </si>
  <si>
    <t>sQ859Fg</t>
  </si>
  <si>
    <t>Zylozepam47</t>
  </si>
  <si>
    <t>Bh627rI</t>
  </si>
  <si>
    <t>Viraparin32</t>
  </si>
  <si>
    <t>GG391Br</t>
  </si>
  <si>
    <t>Zylozole18</t>
  </si>
  <si>
    <t>PI386dq</t>
  </si>
  <si>
    <t>Fatigue, Rash, Blurred vision</t>
  </si>
  <si>
    <t>Yw268wQ</t>
  </si>
  <si>
    <t>Fenocillin86</t>
  </si>
  <si>
    <t>wY954QZ</t>
  </si>
  <si>
    <t>Fenoprofen97</t>
  </si>
  <si>
    <t>rp693Si</t>
  </si>
  <si>
    <t>Daxoparin47</t>
  </si>
  <si>
    <t>Se665DZ</t>
  </si>
  <si>
    <t>Rivaparin87</t>
  </si>
  <si>
    <t>Fatigue, Insomnia, Dry mouth</t>
  </si>
  <si>
    <t>vA075uy</t>
  </si>
  <si>
    <t>Loxostatin91</t>
  </si>
  <si>
    <t>PR136NA</t>
  </si>
  <si>
    <t>Loxoxetine13</t>
  </si>
  <si>
    <t>Nausea, Dry mouth, Blurred vision</t>
  </si>
  <si>
    <t>Lc906Fw</t>
  </si>
  <si>
    <t>Fenoprofen89</t>
  </si>
  <si>
    <t>jQ678Pg</t>
  </si>
  <si>
    <t>Fenoparin19</t>
  </si>
  <si>
    <t>Insomnia, Blurred vision, Dry mouth</t>
  </si>
  <si>
    <t>Ob752uh</t>
  </si>
  <si>
    <t>Loxovir91</t>
  </si>
  <si>
    <t>bK046Ty</t>
  </si>
  <si>
    <t>Cefparin16</t>
  </si>
  <si>
    <t>Ic270QO</t>
  </si>
  <si>
    <t>Amoxcillin64</t>
  </si>
  <si>
    <t>Dizziness, Fatigue, Constipation</t>
  </si>
  <si>
    <t>ky177mg</t>
  </si>
  <si>
    <t>Zyloprofen64</t>
  </si>
  <si>
    <t>Kd800Yy</t>
  </si>
  <si>
    <t>Fenozepam92</t>
  </si>
  <si>
    <t>Blurred vision, Dizziness, Fatigue</t>
  </si>
  <si>
    <t>Tm469fs</t>
  </si>
  <si>
    <t>Loxostatin47</t>
  </si>
  <si>
    <t>Vk809nc</t>
  </si>
  <si>
    <t>Loxoxetine40</t>
  </si>
  <si>
    <t>Diarrhea, Dry mouth</t>
  </si>
  <si>
    <t>hz166qC</t>
  </si>
  <si>
    <t>Fenomab49</t>
  </si>
  <si>
    <t>XA862IJ</t>
  </si>
  <si>
    <t>Viraparin82</t>
  </si>
  <si>
    <t>wi043cO</t>
  </si>
  <si>
    <t>Loxostatin71</t>
  </si>
  <si>
    <t>Ju238co</t>
  </si>
  <si>
    <t>Serozepam35</t>
  </si>
  <si>
    <t>JN184Xc</t>
  </si>
  <si>
    <t>Virastatin49</t>
  </si>
  <si>
    <t>NE282bJ</t>
  </si>
  <si>
    <t>Cefxetine21</t>
  </si>
  <si>
    <t>Ag435xd</t>
  </si>
  <si>
    <t>Cefxetine46</t>
  </si>
  <si>
    <t>Fatigue, Insomnia, Nausea</t>
  </si>
  <si>
    <t>pa530TY</t>
  </si>
  <si>
    <t>Rivaxetine60</t>
  </si>
  <si>
    <t>Dry mouth, Insomnia, Nausea</t>
  </si>
  <si>
    <t>pJ773Ii</t>
  </si>
  <si>
    <t>Loxozepam65</t>
  </si>
  <si>
    <t>Dizziness, Rash</t>
  </si>
  <si>
    <t>kO830yi</t>
  </si>
  <si>
    <t>Constipation, Rash, Headache</t>
  </si>
  <si>
    <t>nY917cB</t>
  </si>
  <si>
    <t>Virastatin40</t>
  </si>
  <si>
    <t>Blurred vision, Constipation</t>
  </si>
  <si>
    <t>GR482tt</t>
  </si>
  <si>
    <t>Fenoprofen78</t>
  </si>
  <si>
    <t>Dizziness, Constipation, Headache</t>
  </si>
  <si>
    <t>wa399Tn</t>
  </si>
  <si>
    <t>Cefzepam62</t>
  </si>
  <si>
    <t>kv334gg</t>
  </si>
  <si>
    <t>Daxoxetine26</t>
  </si>
  <si>
    <t>Dry mouth, Dizziness, Blurred vision</t>
  </si>
  <si>
    <t>mq731lS</t>
  </si>
  <si>
    <t>Viraprofen92</t>
  </si>
  <si>
    <t>Mf335zx</t>
  </si>
  <si>
    <t>Serovir99</t>
  </si>
  <si>
    <t>Cg376JH</t>
  </si>
  <si>
    <t>Fenoxetine28</t>
  </si>
  <si>
    <t>St393Eg</t>
  </si>
  <si>
    <t>Viramab63</t>
  </si>
  <si>
    <t>ne068oS</t>
  </si>
  <si>
    <t>Daxozepam73</t>
  </si>
  <si>
    <t>Qo639YO</t>
  </si>
  <si>
    <t>Mecovir95</t>
  </si>
  <si>
    <t>qZ679kb</t>
  </si>
  <si>
    <t>Seromab27</t>
  </si>
  <si>
    <t>Dizziness, Constipation</t>
  </si>
  <si>
    <t>Eh399fz</t>
  </si>
  <si>
    <t>Daxomab91</t>
  </si>
  <si>
    <t>Fx873Qs</t>
  </si>
  <si>
    <t>Amoxxetine71</t>
  </si>
  <si>
    <t>tM339cM</t>
  </si>
  <si>
    <t>Serozepam96</t>
  </si>
  <si>
    <t>Nr686fe</t>
  </si>
  <si>
    <t>Daxostatin88</t>
  </si>
  <si>
    <t>tP745RZ</t>
  </si>
  <si>
    <t>Mecoparin37</t>
  </si>
  <si>
    <t>dH430Bk</t>
  </si>
  <si>
    <t>Rivamab66</t>
  </si>
  <si>
    <t>LZ728as</t>
  </si>
  <si>
    <t>Rivadipine35</t>
  </si>
  <si>
    <t>Constipation, Insomnia, Headache</t>
  </si>
  <si>
    <t>zQ960Ab</t>
  </si>
  <si>
    <t>Cefxetine29</t>
  </si>
  <si>
    <t>FZ333vX</t>
  </si>
  <si>
    <t>Mecovir22</t>
  </si>
  <si>
    <t>jp264WH</t>
  </si>
  <si>
    <t>Dry mouth, Insomnia, Blurred vision</t>
  </si>
  <si>
    <t>Gg774II</t>
  </si>
  <si>
    <t>Seroprofen44</t>
  </si>
  <si>
    <t>vH481FB</t>
  </si>
  <si>
    <t>Fenostatin19</t>
  </si>
  <si>
    <t>My917FP</t>
  </si>
  <si>
    <t>Mecozepam44</t>
  </si>
  <si>
    <t>tC588kn</t>
  </si>
  <si>
    <t>Amoxxetine11</t>
  </si>
  <si>
    <t>Vv435St</t>
  </si>
  <si>
    <t>Mecostatin14</t>
  </si>
  <si>
    <t>Ln398Aw</t>
  </si>
  <si>
    <t>Fenodipine32</t>
  </si>
  <si>
    <t>DK690FC</t>
  </si>
  <si>
    <t>uC554cU</t>
  </si>
  <si>
    <t>Amoxcillin61</t>
  </si>
  <si>
    <t>Fatigue, Headache, Blurred vision</t>
  </si>
  <si>
    <t>Zb696JC</t>
  </si>
  <si>
    <t>Cefzole43</t>
  </si>
  <si>
    <t>gg930FB</t>
  </si>
  <si>
    <t>Seroparin74</t>
  </si>
  <si>
    <t>Rn829nq</t>
  </si>
  <si>
    <t>Seromab52</t>
  </si>
  <si>
    <t>Diarrhea, Nausea</t>
  </si>
  <si>
    <t>XE396Bh</t>
  </si>
  <si>
    <t>Rivaparin94</t>
  </si>
  <si>
    <t>Blurred vision, Insomnia, Rash</t>
  </si>
  <si>
    <t>fG825jS</t>
  </si>
  <si>
    <t>Cefvir95</t>
  </si>
  <si>
    <t>Bm528Tq</t>
  </si>
  <si>
    <t>Amoxzole86</t>
  </si>
  <si>
    <t>lO970zT</t>
  </si>
  <si>
    <t>Fenocillin18</t>
  </si>
  <si>
    <t>WZ206aG</t>
  </si>
  <si>
    <t>Seroparin76</t>
  </si>
  <si>
    <t>Sc151wV</t>
  </si>
  <si>
    <t>Loxodipine57</t>
  </si>
  <si>
    <t>gh757Hx</t>
  </si>
  <si>
    <t>Zylovir33</t>
  </si>
  <si>
    <t>eQ902DV</t>
  </si>
  <si>
    <t>Viracillin58</t>
  </si>
  <si>
    <t>Insomnia, Dry mouth, Constipation</t>
  </si>
  <si>
    <t>Xx425gD</t>
  </si>
  <si>
    <t>Seromab88</t>
  </si>
  <si>
    <t>JM906sV</t>
  </si>
  <si>
    <t>Zylodipine14</t>
  </si>
  <si>
    <t>ff952kB</t>
  </si>
  <si>
    <t>Rivadipine47</t>
  </si>
  <si>
    <t>LG712jC</t>
  </si>
  <si>
    <t>Mecomab85</t>
  </si>
  <si>
    <t>Nausea, Fatigue, Blurred vision</t>
  </si>
  <si>
    <t>eV001Vj</t>
  </si>
  <si>
    <t>Amoxxetine30</t>
  </si>
  <si>
    <t>Sl011zC</t>
  </si>
  <si>
    <t>Daxostatin28</t>
  </si>
  <si>
    <t>uo240Tq</t>
  </si>
  <si>
    <t>Seroxetine93</t>
  </si>
  <si>
    <t>Rash, Dizziness, Dry mouth</t>
  </si>
  <si>
    <t>fI924UZ</t>
  </si>
  <si>
    <t>Rivaparin27</t>
  </si>
  <si>
    <t>cw873pf</t>
  </si>
  <si>
    <t>Cefprofen76</t>
  </si>
  <si>
    <t>tN294aM</t>
  </si>
  <si>
    <t>Amoxparin66</t>
  </si>
  <si>
    <t>uG957mN</t>
  </si>
  <si>
    <t>Fenozepam96</t>
  </si>
  <si>
    <t>yJ211eD</t>
  </si>
  <si>
    <t>Zylodipine37</t>
  </si>
  <si>
    <t>nL672bS</t>
  </si>
  <si>
    <t>Daxocillin50</t>
  </si>
  <si>
    <t>vy900xr</t>
  </si>
  <si>
    <t>Cefvir49</t>
  </si>
  <si>
    <t>wH471wf</t>
  </si>
  <si>
    <t>Mecozepam32</t>
  </si>
  <si>
    <t>Blurred vision, Headache, Dizziness</t>
  </si>
  <si>
    <t>CI177hw</t>
  </si>
  <si>
    <t>Amoxcillin59</t>
  </si>
  <si>
    <t>Xk701qW</t>
  </si>
  <si>
    <t>Rivadipine74</t>
  </si>
  <si>
    <t>Vn991fc</t>
  </si>
  <si>
    <t>Daxozepam74</t>
  </si>
  <si>
    <t>zA911Dg</t>
  </si>
  <si>
    <t>Viracillin97</t>
  </si>
  <si>
    <t>Dizziness, Rash, Nausea</t>
  </si>
  <si>
    <t>Ae709ku</t>
  </si>
  <si>
    <t>Cefvir25</t>
  </si>
  <si>
    <t>VQ530st</t>
  </si>
  <si>
    <t>Zyloprofen50</t>
  </si>
  <si>
    <t>rg398wi</t>
  </si>
  <si>
    <t>Zj545kN</t>
  </si>
  <si>
    <t>Fenozepam21</t>
  </si>
  <si>
    <t>fJ918hW</t>
  </si>
  <si>
    <t>Virazepam91</t>
  </si>
  <si>
    <t>hJ593ZR</t>
  </si>
  <si>
    <t>Cefzepam90</t>
  </si>
  <si>
    <t>Al844SF</t>
  </si>
  <si>
    <t>Daxostatin49</t>
  </si>
  <si>
    <t>dM853pA</t>
  </si>
  <si>
    <t>aa111SW</t>
  </si>
  <si>
    <t>Rivaprofen18</t>
  </si>
  <si>
    <t>cA260cr</t>
  </si>
  <si>
    <t>Blurred vision, Rash, Insomnia</t>
  </si>
  <si>
    <t>xB867Jx</t>
  </si>
  <si>
    <t>Viraprofen90</t>
  </si>
  <si>
    <t>mh640ul</t>
  </si>
  <si>
    <t>Amoxprofen14</t>
  </si>
  <si>
    <t>Rash, Dry mouth, Headache</t>
  </si>
  <si>
    <t>sO518TX</t>
  </si>
  <si>
    <t>Seromab18</t>
  </si>
  <si>
    <t>hU240gZ</t>
  </si>
  <si>
    <t>Daxocillin68</t>
  </si>
  <si>
    <t>Blurred vision, Nausea, Diarrhea</t>
  </si>
  <si>
    <t>WN543bA</t>
  </si>
  <si>
    <t>NN933NE</t>
  </si>
  <si>
    <t>Cefcillin23</t>
  </si>
  <si>
    <t>TW684fM</t>
  </si>
  <si>
    <t>Seroprofen12</t>
  </si>
  <si>
    <t>Rash, Dizziness, Constipation</t>
  </si>
  <si>
    <t>jL551uc</t>
  </si>
  <si>
    <t>tL060UG</t>
  </si>
  <si>
    <t>Daxocillin56</t>
  </si>
  <si>
    <t>EY693Ev</t>
  </si>
  <si>
    <t>Fenoprofen12</t>
  </si>
  <si>
    <t>Blurred vision, Diarrhea, Dry mouth</t>
  </si>
  <si>
    <t>xk646sK</t>
  </si>
  <si>
    <t>Cefzepam33</t>
  </si>
  <si>
    <t>Constipation, Rash</t>
  </si>
  <si>
    <t>mW715LO</t>
  </si>
  <si>
    <t>Cefvir94</t>
  </si>
  <si>
    <t>rg223ct</t>
  </si>
  <si>
    <t>Mecozole29</t>
  </si>
  <si>
    <t>xG330XT</t>
  </si>
  <si>
    <t>Viradipine96</t>
  </si>
  <si>
    <t>MD938qN</t>
  </si>
  <si>
    <t>Mecozole85</t>
  </si>
  <si>
    <t>Headache, Fatigue, Diarrhea</t>
  </si>
  <si>
    <t>VU931tL</t>
  </si>
  <si>
    <t>Daxozepam84</t>
  </si>
  <si>
    <t>gD791Ck</t>
  </si>
  <si>
    <t>Fenozole66</t>
  </si>
  <si>
    <t>Jd271RK</t>
  </si>
  <si>
    <t>Seroprofen69</t>
  </si>
  <si>
    <t>Constipation, Fatigue, Headache</t>
  </si>
  <si>
    <t>uz681Vf</t>
  </si>
  <si>
    <t>Rivamab17</t>
  </si>
  <si>
    <t>mS577QS</t>
  </si>
  <si>
    <t>Mecozepam35</t>
  </si>
  <si>
    <t>Oz519Ch</t>
  </si>
  <si>
    <t>Serozole63</t>
  </si>
  <si>
    <t>Constipation, Blurred vision, Insomnia</t>
  </si>
  <si>
    <t>IP947ct</t>
  </si>
  <si>
    <t>Fenodipine80</t>
  </si>
  <si>
    <t>IJ182ls</t>
  </si>
  <si>
    <t>Mecoparin14</t>
  </si>
  <si>
    <t>bb015Tt</t>
  </si>
  <si>
    <t>Daxomab45</t>
  </si>
  <si>
    <t>SW399vM</t>
  </si>
  <si>
    <t>Mecozepam41</t>
  </si>
  <si>
    <t>Sg572uX</t>
  </si>
  <si>
    <t>bE633So</t>
  </si>
  <si>
    <t>Serozole84</t>
  </si>
  <si>
    <t>Diarrhea, Rash, Dizziness</t>
  </si>
  <si>
    <t>qq321DM</t>
  </si>
  <si>
    <t>Fenozepam55</t>
  </si>
  <si>
    <t>GU614ad</t>
  </si>
  <si>
    <t>Zyloparin97</t>
  </si>
  <si>
    <t>qC781tC</t>
  </si>
  <si>
    <t>Loxovir75</t>
  </si>
  <si>
    <t>gk395Od</t>
  </si>
  <si>
    <t>Fenodipine84</t>
  </si>
  <si>
    <t>Rash, Blurred vision</t>
  </si>
  <si>
    <t>EN670hr</t>
  </si>
  <si>
    <t>Mecoprofen56</t>
  </si>
  <si>
    <t>Blurred vision, Insomnia, Diarrhea</t>
  </si>
  <si>
    <t>DZ275kP</t>
  </si>
  <si>
    <t>Rivaprofen59</t>
  </si>
  <si>
    <t>HB586gZ</t>
  </si>
  <si>
    <t>Viradipine19</t>
  </si>
  <si>
    <t>Constipation, Dry mouth, Insomnia</t>
  </si>
  <si>
    <t>dv869Lu</t>
  </si>
  <si>
    <t>Amoxstatin19</t>
  </si>
  <si>
    <t>Diarrhea, Dizziness</t>
  </si>
  <si>
    <t>ld477sO</t>
  </si>
  <si>
    <t>Seromab75</t>
  </si>
  <si>
    <t>iA303ge</t>
  </si>
  <si>
    <t>Zylozole76</t>
  </si>
  <si>
    <t>ME542PJ</t>
  </si>
  <si>
    <t>Daxovir39</t>
  </si>
  <si>
    <t>nq130py</t>
  </si>
  <si>
    <t>Viraprofen83</t>
  </si>
  <si>
    <t>PF999py</t>
  </si>
  <si>
    <t>Loxostatin66</t>
  </si>
  <si>
    <t>Tg195aL</t>
  </si>
  <si>
    <t>Loxodipine77</t>
  </si>
  <si>
    <t>jK213UW</t>
  </si>
  <si>
    <t>Zylomab43</t>
  </si>
  <si>
    <t>CZ726Rw</t>
  </si>
  <si>
    <t>Loxoprofen99</t>
  </si>
  <si>
    <t>Insomnia, Dizziness, Constipation</t>
  </si>
  <si>
    <t>Aw156LJ</t>
  </si>
  <si>
    <t>Daxocillin59</t>
  </si>
  <si>
    <t>uO287iQ</t>
  </si>
  <si>
    <t>Diarrhea, Headache</t>
  </si>
  <si>
    <t>yk393yI</t>
  </si>
  <si>
    <t>Zylozole95</t>
  </si>
  <si>
    <t>cA688LI</t>
  </si>
  <si>
    <t>Viraxetine21</t>
  </si>
  <si>
    <t>Nausea, Constipation, Blurred vision</t>
  </si>
  <si>
    <t>Oe193dS</t>
  </si>
  <si>
    <t>Rivazepam31</t>
  </si>
  <si>
    <t>Dizziness, Diarrhea, Fatigue</t>
  </si>
  <si>
    <t>wZ596VF</t>
  </si>
  <si>
    <t>Fenocillin34</t>
  </si>
  <si>
    <t>xR574mz</t>
  </si>
  <si>
    <t>Loxovir26</t>
  </si>
  <si>
    <t>LV182Qy</t>
  </si>
  <si>
    <t>Daxoprofen74</t>
  </si>
  <si>
    <t>xy439gY</t>
  </si>
  <si>
    <t>Xq814wE</t>
  </si>
  <si>
    <t>Zyloprofen87</t>
  </si>
  <si>
    <t>Headache, Fatigue, Constipation</t>
  </si>
  <si>
    <t>yL798XT</t>
  </si>
  <si>
    <t>Fenoparin96</t>
  </si>
  <si>
    <t>dw633wK</t>
  </si>
  <si>
    <t>Dry mouth, Rash, Nausea</t>
  </si>
  <si>
    <t>Np791OF</t>
  </si>
  <si>
    <t>Mecozepam91</t>
  </si>
  <si>
    <t>xK629vs</t>
  </si>
  <si>
    <t>Loxoxetine30</t>
  </si>
  <si>
    <t>mC564fM</t>
  </si>
  <si>
    <t>Loxoparin21</t>
  </si>
  <si>
    <t>Constipation, Blurred vision, Diarrhea</t>
  </si>
  <si>
    <t>we057Zk</t>
  </si>
  <si>
    <t>Rivadipine26</t>
  </si>
  <si>
    <t>XG772Dy</t>
  </si>
  <si>
    <t>Viravir78</t>
  </si>
  <si>
    <t>Nausea, Headache</t>
  </si>
  <si>
    <t>IG250vM</t>
  </si>
  <si>
    <t>Viraparin66</t>
  </si>
  <si>
    <t>Cl062HX</t>
  </si>
  <si>
    <t>Mecozepam69</t>
  </si>
  <si>
    <t>AC556qf</t>
  </si>
  <si>
    <t>Amoxvir41</t>
  </si>
  <si>
    <t>Constipation, Blurred vision, Dizziness</t>
  </si>
  <si>
    <t>DW643je</t>
  </si>
  <si>
    <t>Virazole92</t>
  </si>
  <si>
    <t>iH029eX</t>
  </si>
  <si>
    <t>Zylocillin45</t>
  </si>
  <si>
    <t>VB010jp</t>
  </si>
  <si>
    <t>Zyloparin35</t>
  </si>
  <si>
    <t>EF346sV</t>
  </si>
  <si>
    <t>Viravir41</t>
  </si>
  <si>
    <t>fs635KJ</t>
  </si>
  <si>
    <t>Mecomab60</t>
  </si>
  <si>
    <t>mg884As</t>
  </si>
  <si>
    <t>Amoxstatin30</t>
  </si>
  <si>
    <t>Jm519ZY</t>
  </si>
  <si>
    <t>Serodipine33</t>
  </si>
  <si>
    <t>pZ499Xz</t>
  </si>
  <si>
    <t>Mecocillin87</t>
  </si>
  <si>
    <t>Ou299GU</t>
  </si>
  <si>
    <t>Gs415ZV</t>
  </si>
  <si>
    <t>Serozole25</t>
  </si>
  <si>
    <t>mI586At</t>
  </si>
  <si>
    <t>Daxostatin58</t>
  </si>
  <si>
    <t>zs088nk</t>
  </si>
  <si>
    <t>Mecomab24</t>
  </si>
  <si>
    <t>Zd088Tb</t>
  </si>
  <si>
    <t>Rivaxetine71</t>
  </si>
  <si>
    <t>Wq753DM</t>
  </si>
  <si>
    <t>Viramab49</t>
  </si>
  <si>
    <t>Rash, Dizziness, Nausea</t>
  </si>
  <si>
    <t>gO412SC</t>
  </si>
  <si>
    <t>Fenodipine86</t>
  </si>
  <si>
    <t>Qn837JF</t>
  </si>
  <si>
    <t>Seroparin27</t>
  </si>
  <si>
    <t>hY475DH</t>
  </si>
  <si>
    <t>Amoxstatin28</t>
  </si>
  <si>
    <t>vr059GY</t>
  </si>
  <si>
    <t>Serodipine85</t>
  </si>
  <si>
    <t>Nausea, Blurred vision, Rash</t>
  </si>
  <si>
    <t>eJ063Tr</t>
  </si>
  <si>
    <t>Cefdipine98</t>
  </si>
  <si>
    <t>Bt863sr</t>
  </si>
  <si>
    <t>Fenozepam84</t>
  </si>
  <si>
    <t>AX109ab</t>
  </si>
  <si>
    <t>Cefzepam49</t>
  </si>
  <si>
    <t>kq560RS</t>
  </si>
  <si>
    <t>Rash, Blurred vision, Dizziness</t>
  </si>
  <si>
    <t>en104FG</t>
  </si>
  <si>
    <t>Mecovir27</t>
  </si>
  <si>
    <t>Dizziness, Fatigue, Headache</t>
  </si>
  <si>
    <t>Zx384SE</t>
  </si>
  <si>
    <t>Cefxetine87</t>
  </si>
  <si>
    <t>dk020gA</t>
  </si>
  <si>
    <t>Amoxcillin42</t>
  </si>
  <si>
    <t>Insomnia, Dizziness, Fatigue</t>
  </si>
  <si>
    <t>Kv620IY</t>
  </si>
  <si>
    <t>Mecozepam65</t>
  </si>
  <si>
    <t>uv133EV</t>
  </si>
  <si>
    <t>Seroparin58</t>
  </si>
  <si>
    <t>hi237ol</t>
  </si>
  <si>
    <t>Cefzepam91</t>
  </si>
  <si>
    <t>Xk007LF</t>
  </si>
  <si>
    <t>Virastatin74</t>
  </si>
  <si>
    <t>dx391fh</t>
  </si>
  <si>
    <t>Mecoprofen55</t>
  </si>
  <si>
    <t>Rash, Diarrhea, Constipation</t>
  </si>
  <si>
    <t>HM819qH</t>
  </si>
  <si>
    <t>Daxovir69</t>
  </si>
  <si>
    <t>ac025wz</t>
  </si>
  <si>
    <t>Viraprofen54</t>
  </si>
  <si>
    <t>XG870Hl</t>
  </si>
  <si>
    <t>Amoxparin83</t>
  </si>
  <si>
    <t>Dry mouth, Rash, Dizziness</t>
  </si>
  <si>
    <t>XN903gS</t>
  </si>
  <si>
    <t>Viraprofen38</t>
  </si>
  <si>
    <t>Pl354gb</t>
  </si>
  <si>
    <t>Daxostatin19</t>
  </si>
  <si>
    <t>sl798qx</t>
  </si>
  <si>
    <t>nm920cB</t>
  </si>
  <si>
    <t>Daxomab61</t>
  </si>
  <si>
    <t>Bd727Bp</t>
  </si>
  <si>
    <t>Rivaprofen72</t>
  </si>
  <si>
    <t>LH731nH</t>
  </si>
  <si>
    <t>Fenoprofen74</t>
  </si>
  <si>
    <t>sL123Ez</t>
  </si>
  <si>
    <t>Mecodipine80</t>
  </si>
  <si>
    <t>QJ100sD</t>
  </si>
  <si>
    <t>Zylocillin66</t>
  </si>
  <si>
    <t>Mn160Xd</t>
  </si>
  <si>
    <t>Fenozole49</t>
  </si>
  <si>
    <t>eB513gO</t>
  </si>
  <si>
    <t>Rivaparin53</t>
  </si>
  <si>
    <t>Dry mouth, Diarrhea, Nausea</t>
  </si>
  <si>
    <t>Rg291oQ</t>
  </si>
  <si>
    <t>Seromab62</t>
  </si>
  <si>
    <t>Vh300RK</t>
  </si>
  <si>
    <t>Rivaxetine31</t>
  </si>
  <si>
    <t>gD098cd</t>
  </si>
  <si>
    <t>Loxozepam13</t>
  </si>
  <si>
    <t>TA555FD</t>
  </si>
  <si>
    <t>Cefparin54</t>
  </si>
  <si>
    <t>lv623xG</t>
  </si>
  <si>
    <t>Rivaxetine99</t>
  </si>
  <si>
    <t>LX001cj</t>
  </si>
  <si>
    <t>Fenomab91</t>
  </si>
  <si>
    <t>Fk846pY</t>
  </si>
  <si>
    <t>Viradipine86</t>
  </si>
  <si>
    <t>Jq925IL</t>
  </si>
  <si>
    <t>Mecovir14</t>
  </si>
  <si>
    <t>Oz331aA</t>
  </si>
  <si>
    <t>Loxomab42</t>
  </si>
  <si>
    <t>Mr164DT</t>
  </si>
  <si>
    <t>Serostatin46</t>
  </si>
  <si>
    <t>sR797ol</t>
  </si>
  <si>
    <t>Loxoparin72</t>
  </si>
  <si>
    <t>GU172vU</t>
  </si>
  <si>
    <t>Nausea, Dry mouth, Dizziness</t>
  </si>
  <si>
    <t>ia927IE</t>
  </si>
  <si>
    <t>Pi425Ni</t>
  </si>
  <si>
    <t>Mecoprofen21</t>
  </si>
  <si>
    <t>Blurred vision, Nausea, Rash</t>
  </si>
  <si>
    <t>oF003bK</t>
  </si>
  <si>
    <t>Zyloprofen60</t>
  </si>
  <si>
    <t>wO626hi</t>
  </si>
  <si>
    <t>Daxostatin14</t>
  </si>
  <si>
    <t>UP645NR</t>
  </si>
  <si>
    <t>Fenozole24</t>
  </si>
  <si>
    <t>ot428Bp</t>
  </si>
  <si>
    <t>Cefprofen50</t>
  </si>
  <si>
    <t>iu355Cl</t>
  </si>
  <si>
    <t>Viramab50</t>
  </si>
  <si>
    <t>Dizziness, Dry mouth, Blurred vision</t>
  </si>
  <si>
    <t>og199ZY</t>
  </si>
  <si>
    <t>Viramab90</t>
  </si>
  <si>
    <t>Dc044OZ</t>
  </si>
  <si>
    <t>Daxodipine85</t>
  </si>
  <si>
    <t>KW929iE</t>
  </si>
  <si>
    <t>Mecovir97</t>
  </si>
  <si>
    <t>rx581JH</t>
  </si>
  <si>
    <t>Amoxcillin60</t>
  </si>
  <si>
    <t>cV633Uc</t>
  </si>
  <si>
    <t>Mecocillin57</t>
  </si>
  <si>
    <t>MD746PO</t>
  </si>
  <si>
    <t>Amoxprofen70</t>
  </si>
  <si>
    <t>UJ611uL</t>
  </si>
  <si>
    <t>Cefdipine30</t>
  </si>
  <si>
    <t>Headache, Constipation, Blurred vision</t>
  </si>
  <si>
    <t>RW898Uw</t>
  </si>
  <si>
    <t>Amoxprofen87</t>
  </si>
  <si>
    <t>xD487KW</t>
  </si>
  <si>
    <t>Loxozole34</t>
  </si>
  <si>
    <t>rR735JB</t>
  </si>
  <si>
    <t>Zyloparin52</t>
  </si>
  <si>
    <t>pJ187Jm</t>
  </si>
  <si>
    <t>Loxodipine22</t>
  </si>
  <si>
    <t>Constipation, Dizziness, Diarrhea</t>
  </si>
  <si>
    <t>qM747zX</t>
  </si>
  <si>
    <t>Serodipine19</t>
  </si>
  <si>
    <t>Sm808LG</t>
  </si>
  <si>
    <t>Loxoparin75</t>
  </si>
  <si>
    <t>PF081qq</t>
  </si>
  <si>
    <t>Fenoxetine67</t>
  </si>
  <si>
    <t>Blurred vision, Rash, Diarrhea</t>
  </si>
  <si>
    <t>Zg671yN</t>
  </si>
  <si>
    <t>Rivavir33</t>
  </si>
  <si>
    <t>nm994jQ</t>
  </si>
  <si>
    <t>Loxodipine35</t>
  </si>
  <si>
    <t>Dry mouth, Fatigue, Constipation</t>
  </si>
  <si>
    <t>bP970Aw</t>
  </si>
  <si>
    <t>Virastatin70</t>
  </si>
  <si>
    <t>Constipation, Headache, Rash</t>
  </si>
  <si>
    <t>lp037Ih</t>
  </si>
  <si>
    <t>Daxoxetine84</t>
  </si>
  <si>
    <t>Blurred vision, Nausea, Constipation</t>
  </si>
  <si>
    <t>jw574DJ</t>
  </si>
  <si>
    <t>Rivazepam35</t>
  </si>
  <si>
    <t>sK336WI</t>
  </si>
  <si>
    <t>Fenomab47</t>
  </si>
  <si>
    <t>Vc335Ez</t>
  </si>
  <si>
    <t>Viramab34</t>
  </si>
  <si>
    <t>cH869rz</t>
  </si>
  <si>
    <t>Cefstatin37</t>
  </si>
  <si>
    <t>Headache, Dizziness, Dry mouth</t>
  </si>
  <si>
    <t>OI018uh</t>
  </si>
  <si>
    <t>Fenostatin31</t>
  </si>
  <si>
    <t>hk638Bf</t>
  </si>
  <si>
    <t>Daxostatin37</t>
  </si>
  <si>
    <t>Insomnia, Rash, Headache</t>
  </si>
  <si>
    <t>bT434cq</t>
  </si>
  <si>
    <t>Amoxvir99</t>
  </si>
  <si>
    <t>xl669gG</t>
  </si>
  <si>
    <t>Rivavir42</t>
  </si>
  <si>
    <t>aA525yk</t>
  </si>
  <si>
    <t>Mecovir92</t>
  </si>
  <si>
    <t>mG293yw</t>
  </si>
  <si>
    <t>Mecoprofen57</t>
  </si>
  <si>
    <t>rD576Or</t>
  </si>
  <si>
    <t>Cefxetine17</t>
  </si>
  <si>
    <t>HH710uX</t>
  </si>
  <si>
    <t>Zylovir61</t>
  </si>
  <si>
    <t>dq789Cq</t>
  </si>
  <si>
    <t>Mecoxetine16</t>
  </si>
  <si>
    <t>Diarrhea, Insomnia, Fatigue</t>
  </si>
  <si>
    <t>So956wZ</t>
  </si>
  <si>
    <t>Mecostatin74</t>
  </si>
  <si>
    <t>vJ253fT</t>
  </si>
  <si>
    <t>Fenostatin39</t>
  </si>
  <si>
    <t>cf767Yh</t>
  </si>
  <si>
    <t>Lz193hh</t>
  </si>
  <si>
    <t>Loxozole63</t>
  </si>
  <si>
    <t>ZY433GL</t>
  </si>
  <si>
    <t>Loxostatin84</t>
  </si>
  <si>
    <t>XG796eG</t>
  </si>
  <si>
    <t>Cefdipine73</t>
  </si>
  <si>
    <t>jI096EX</t>
  </si>
  <si>
    <t>Cefcillin39</t>
  </si>
  <si>
    <t>Blurred vision, Rash, Dizziness</t>
  </si>
  <si>
    <t>os753hV</t>
  </si>
  <si>
    <t>Daxozole67</t>
  </si>
  <si>
    <t>Yu238Ug</t>
  </si>
  <si>
    <t>Seroxetine67</t>
  </si>
  <si>
    <t>Dizziness, Dry mouth, Diarrhea</t>
  </si>
  <si>
    <t>NP073Aj</t>
  </si>
  <si>
    <t>Rivastatin43</t>
  </si>
  <si>
    <t>oM041ts</t>
  </si>
  <si>
    <t>Rivaxetine50</t>
  </si>
  <si>
    <t>qu367jW</t>
  </si>
  <si>
    <t>Zyloparin25</t>
  </si>
  <si>
    <t>vM374IV</t>
  </si>
  <si>
    <t>Mecomab42</t>
  </si>
  <si>
    <t>nu921lZ</t>
  </si>
  <si>
    <t>Zylozole88</t>
  </si>
  <si>
    <t>ka890el</t>
  </si>
  <si>
    <t>Serodipine52</t>
  </si>
  <si>
    <t>RV329iG</t>
  </si>
  <si>
    <t>Serovir50</t>
  </si>
  <si>
    <t>ms262Id</t>
  </si>
  <si>
    <t>Amoxzole80</t>
  </si>
  <si>
    <t>UK011FQ</t>
  </si>
  <si>
    <t>Viraparin10</t>
  </si>
  <si>
    <t>CM438qE</t>
  </si>
  <si>
    <t>Viramab45</t>
  </si>
  <si>
    <t>Dry mouth, Headache, Constipation</t>
  </si>
  <si>
    <t>rk009KU</t>
  </si>
  <si>
    <t>Cefprofen22</t>
  </si>
  <si>
    <t>tX110Rr</t>
  </si>
  <si>
    <t>Amoxzole83</t>
  </si>
  <si>
    <t>Kk338hR</t>
  </si>
  <si>
    <t>Fenostatin15</t>
  </si>
  <si>
    <t>TS680Li</t>
  </si>
  <si>
    <t>Serovir46</t>
  </si>
  <si>
    <t>Insomnia, Diarrhea, Dry mouth</t>
  </si>
  <si>
    <t>Ec370mF</t>
  </si>
  <si>
    <t>Rivazepam82</t>
  </si>
  <si>
    <t>hU404zo</t>
  </si>
  <si>
    <t>Rivaparin62</t>
  </si>
  <si>
    <t>Constipation, Nausea</t>
  </si>
  <si>
    <t>Px897Gm</t>
  </si>
  <si>
    <t>Rivavir65</t>
  </si>
  <si>
    <t>iY131Um</t>
  </si>
  <si>
    <t>Serodipine29</t>
  </si>
  <si>
    <t>tY036sn</t>
  </si>
  <si>
    <t>Zylovir83</t>
  </si>
  <si>
    <t>Aq664gR</t>
  </si>
  <si>
    <t>Amoxzepam23</t>
  </si>
  <si>
    <t>Dizziness, Rash, Constipation</t>
  </si>
  <si>
    <t>Ch145jM</t>
  </si>
  <si>
    <t>Ze723tb</t>
  </si>
  <si>
    <t>Fenoparin58</t>
  </si>
  <si>
    <t>Dry mouth, Headache, Fatigue</t>
  </si>
  <si>
    <t>nS455Om</t>
  </si>
  <si>
    <t>Zyloprofen42</t>
  </si>
  <si>
    <t>QW630JT</t>
  </si>
  <si>
    <t>Cefprofen81</t>
  </si>
  <si>
    <t>vE126kx</t>
  </si>
  <si>
    <t>Serodipine97</t>
  </si>
  <si>
    <t>ib794gm</t>
  </si>
  <si>
    <t>Amoxdipine97</t>
  </si>
  <si>
    <t>Rash, Diarrhea, Dry mouth</t>
  </si>
  <si>
    <t>YN450Ht</t>
  </si>
  <si>
    <t>Serodipine11</t>
  </si>
  <si>
    <t>uB170Ao</t>
  </si>
  <si>
    <t>Daxostatin15</t>
  </si>
  <si>
    <t>Dry mouth, Blurred vision, Nausea</t>
  </si>
  <si>
    <t>bD154ur</t>
  </si>
  <si>
    <t>Diarrhea, Insomnia, Dry mouth</t>
  </si>
  <si>
    <t>jk827Ok</t>
  </si>
  <si>
    <t>Cefvir16</t>
  </si>
  <si>
    <t>hZ060GQ</t>
  </si>
  <si>
    <t>Viradipine92</t>
  </si>
  <si>
    <t>Mb717HC</t>
  </si>
  <si>
    <t>Serostatin90</t>
  </si>
  <si>
    <t>Nj713NP</t>
  </si>
  <si>
    <t>Fenoxetine80</t>
  </si>
  <si>
    <t>fh765dJ</t>
  </si>
  <si>
    <t>Daxozole54</t>
  </si>
  <si>
    <t>BV694DH</t>
  </si>
  <si>
    <t>Amoxzole92</t>
  </si>
  <si>
    <t>CN366zq</t>
  </si>
  <si>
    <t>Virazepam99</t>
  </si>
  <si>
    <t>Dw614xB</t>
  </si>
  <si>
    <t>al356tk</t>
  </si>
  <si>
    <t>Viraparin18</t>
  </si>
  <si>
    <t>Ms347nl</t>
  </si>
  <si>
    <t>Mecovir21</t>
  </si>
  <si>
    <t>hv674Xn</t>
  </si>
  <si>
    <t>Zylocillin13</t>
  </si>
  <si>
    <t>XW722uw</t>
  </si>
  <si>
    <t>Amoxxetine13</t>
  </si>
  <si>
    <t>kD690OB</t>
  </si>
  <si>
    <t>Fenocillin75</t>
  </si>
  <si>
    <t>XU637Jr</t>
  </si>
  <si>
    <t>Daxoparin63</t>
  </si>
  <si>
    <t>Tk085vp</t>
  </si>
  <si>
    <t>Rivacillin31</t>
  </si>
  <si>
    <t>Dry mouth, Diarrhea, Dizziness</t>
  </si>
  <si>
    <t>kU674zS</t>
  </si>
  <si>
    <t>Loxoparin12</t>
  </si>
  <si>
    <t>Headache, Constipation, Diarrhea</t>
  </si>
  <si>
    <t>yr878wR</t>
  </si>
  <si>
    <t>Amoxdipine33</t>
  </si>
  <si>
    <t>iA872ZS</t>
  </si>
  <si>
    <t>Mecostatin65</t>
  </si>
  <si>
    <t>Ql171uy</t>
  </si>
  <si>
    <t>Cefstatin33</t>
  </si>
  <si>
    <t>Ab237WJ</t>
  </si>
  <si>
    <t>Loxozole23</t>
  </si>
  <si>
    <t>pi281Ss</t>
  </si>
  <si>
    <t>Amoxdipine26</t>
  </si>
  <si>
    <t>sL924lS</t>
  </si>
  <si>
    <t>Viraparin51</t>
  </si>
  <si>
    <t>fu518qi</t>
  </si>
  <si>
    <t>Cefdipine35</t>
  </si>
  <si>
    <t>Cl353cX</t>
  </si>
  <si>
    <t>Daxomab69</t>
  </si>
  <si>
    <t>XA560uo</t>
  </si>
  <si>
    <t>Cefdipine81</t>
  </si>
  <si>
    <t>vG592Kr</t>
  </si>
  <si>
    <t>Cefzepam68</t>
  </si>
  <si>
    <t>md912RI</t>
  </si>
  <si>
    <t>Rivaprofen39</t>
  </si>
  <si>
    <t>Headache, Rash, Fatigue</t>
  </si>
  <si>
    <t>nI312Ok</t>
  </si>
  <si>
    <t>Viramab35</t>
  </si>
  <si>
    <t>Vr005Oz</t>
  </si>
  <si>
    <t>Seroxetine66</t>
  </si>
  <si>
    <t>zW259Kw</t>
  </si>
  <si>
    <t>Loxoprofen81</t>
  </si>
  <si>
    <t>Blurred vision, Dizziness, Diarrhea</t>
  </si>
  <si>
    <t>kS984cS</t>
  </si>
  <si>
    <t>Rash, Blurred vision, Headache</t>
  </si>
  <si>
    <t>zQ555sZ</t>
  </si>
  <si>
    <t>Rivadipine83</t>
  </si>
  <si>
    <t>Nausea, Diarrhea, Fatigue</t>
  </si>
  <si>
    <t>Fo769pn</t>
  </si>
  <si>
    <t>Zylocillin36</t>
  </si>
  <si>
    <t>km588qR</t>
  </si>
  <si>
    <t>Fenostatin75</t>
  </si>
  <si>
    <t>uQ740bT</t>
  </si>
  <si>
    <t>Daxodipine71</t>
  </si>
  <si>
    <t>Gc404XS</t>
  </si>
  <si>
    <t>Vu405lj</t>
  </si>
  <si>
    <t>Rivazole11</t>
  </si>
  <si>
    <t>VY323fs</t>
  </si>
  <si>
    <t>Loxoxetine86</t>
  </si>
  <si>
    <t>Bj090zz</t>
  </si>
  <si>
    <t>Amoxparin87</t>
  </si>
  <si>
    <t>OD804zI</t>
  </si>
  <si>
    <t>Cefmab41</t>
  </si>
  <si>
    <t>yg538kB</t>
  </si>
  <si>
    <t>Seroprofen33</t>
  </si>
  <si>
    <t>EI220iQ</t>
  </si>
  <si>
    <t>Zylozepam89</t>
  </si>
  <si>
    <t>Constipation, Fatigue, Dizziness</t>
  </si>
  <si>
    <t>JD572ZP</t>
  </si>
  <si>
    <t>Rivadipine71</t>
  </si>
  <si>
    <t>wI853QP</t>
  </si>
  <si>
    <t>Rash, Insomnia, Diarrhea</t>
  </si>
  <si>
    <t>GB442gr</t>
  </si>
  <si>
    <t>Viradipine34</t>
  </si>
  <si>
    <t>Al050uH</t>
  </si>
  <si>
    <t>Zyloparin86</t>
  </si>
  <si>
    <t>Tc399gu</t>
  </si>
  <si>
    <t>Viracillin10</t>
  </si>
  <si>
    <t>Constipation, Blurred vision, Dry mouth</t>
  </si>
  <si>
    <t>lU851SE</t>
  </si>
  <si>
    <t>Loxozole64</t>
  </si>
  <si>
    <t>Constipation, Nausea, Insomnia</t>
  </si>
  <si>
    <t>Yy817fu</t>
  </si>
  <si>
    <t>Fenoprofen59</t>
  </si>
  <si>
    <t>jG663gM</t>
  </si>
  <si>
    <t>fn412FG</t>
  </si>
  <si>
    <t>Daxozepam21</t>
  </si>
  <si>
    <t>FS513KN</t>
  </si>
  <si>
    <t>Serocillin13</t>
  </si>
  <si>
    <t>jc664uD</t>
  </si>
  <si>
    <t>Zylozepam71</t>
  </si>
  <si>
    <t>Fx851Cq</t>
  </si>
  <si>
    <t>Zylozepam80</t>
  </si>
  <si>
    <t>VZ878Jw</t>
  </si>
  <si>
    <t>Daxozole39</t>
  </si>
  <si>
    <t>Mu919fm</t>
  </si>
  <si>
    <t>Serodipine59</t>
  </si>
  <si>
    <t>Eq510dI</t>
  </si>
  <si>
    <t>Rivazole30</t>
  </si>
  <si>
    <t>Insomnia, Diarrhea, Headache</t>
  </si>
  <si>
    <t>XL375dC</t>
  </si>
  <si>
    <t>Rivaprofen79</t>
  </si>
  <si>
    <t>HC829Bq</t>
  </si>
  <si>
    <t>Zylozepam79</t>
  </si>
  <si>
    <t>pP868PS</t>
  </si>
  <si>
    <t>Viracillin89</t>
  </si>
  <si>
    <t>Kr982On</t>
  </si>
  <si>
    <t>Loxocillin94</t>
  </si>
  <si>
    <t>Dizziness, Nausea, Fatigue</t>
  </si>
  <si>
    <t>Nu381Kc</t>
  </si>
  <si>
    <t>Daxomab18</t>
  </si>
  <si>
    <t>jN609DO</t>
  </si>
  <si>
    <t>Mecodipine48</t>
  </si>
  <si>
    <t>tS016hI</t>
  </si>
  <si>
    <t>Daxovir91</t>
  </si>
  <si>
    <t>jL801Tq</t>
  </si>
  <si>
    <t>Loxocillin70</t>
  </si>
  <si>
    <t>Nausea, Dizziness, Diarrhea</t>
  </si>
  <si>
    <t>EE953TA</t>
  </si>
  <si>
    <t>ZT307DD</t>
  </si>
  <si>
    <t>Daxoprofen36</t>
  </si>
  <si>
    <t>Headache, Constipation, Dizziness</t>
  </si>
  <si>
    <t>bb288yu</t>
  </si>
  <si>
    <t>Fenoxetine15</t>
  </si>
  <si>
    <t>Nd082Fy</t>
  </si>
  <si>
    <t>Loxovir99</t>
  </si>
  <si>
    <t>SV922Fh</t>
  </si>
  <si>
    <t>Seroxetine20</t>
  </si>
  <si>
    <t>Fatigue, Diarrhea, Blurred vision</t>
  </si>
  <si>
    <t>Sa856zC</t>
  </si>
  <si>
    <t>Amoxdipine18</t>
  </si>
  <si>
    <t>Fatigue, Insomnia, Dizziness</t>
  </si>
  <si>
    <t>NS778ns</t>
  </si>
  <si>
    <t>Amoxmab17</t>
  </si>
  <si>
    <t>Xh682Dk</t>
  </si>
  <si>
    <t>Amoxzepam62</t>
  </si>
  <si>
    <t>Np179DL</t>
  </si>
  <si>
    <t>Rivavir98</t>
  </si>
  <si>
    <t>op152DQ</t>
  </si>
  <si>
    <t>Seroprofen62</t>
  </si>
  <si>
    <t>Blurred vision, Rash, Dry mouth</t>
  </si>
  <si>
    <t>nc824hO</t>
  </si>
  <si>
    <t>Viravir80</t>
  </si>
  <si>
    <t>CC948uU</t>
  </si>
  <si>
    <t>Viramab60</t>
  </si>
  <si>
    <t>Ik518rQ</t>
  </si>
  <si>
    <t>Loxocillin18</t>
  </si>
  <si>
    <t>Mq586Pw</t>
  </si>
  <si>
    <t>Serozepam76</t>
  </si>
  <si>
    <t>Dizziness, Diarrhea, Dry mouth</t>
  </si>
  <si>
    <t>Fe393pD</t>
  </si>
  <si>
    <t>Fenovir79</t>
  </si>
  <si>
    <t>uG545Ft</t>
  </si>
  <si>
    <t>Fenovir13</t>
  </si>
  <si>
    <t>Wo164eP</t>
  </si>
  <si>
    <t>Virastatin46</t>
  </si>
  <si>
    <t>Constipation, Nausea, Diarrhea</t>
  </si>
  <si>
    <t>HL086ny</t>
  </si>
  <si>
    <t>Seroxetine29</t>
  </si>
  <si>
    <t>PR606gM</t>
  </si>
  <si>
    <t>Daxoparin15</t>
  </si>
  <si>
    <t>PE669MQ</t>
  </si>
  <si>
    <t>Seroprofen43</t>
  </si>
  <si>
    <t>nt774dO</t>
  </si>
  <si>
    <t>Serozepam38</t>
  </si>
  <si>
    <t>Wk927Gy</t>
  </si>
  <si>
    <t>Amoxxetine21</t>
  </si>
  <si>
    <t>kb039mD</t>
  </si>
  <si>
    <t>Rivaxetine20</t>
  </si>
  <si>
    <t>fu099fE</t>
  </si>
  <si>
    <t>Cefparin29</t>
  </si>
  <si>
    <t>Ww033ag</t>
  </si>
  <si>
    <t>Fenodipine70</t>
  </si>
  <si>
    <t>CR101dM</t>
  </si>
  <si>
    <t>sY374ZZ</t>
  </si>
  <si>
    <t>Fenozole86</t>
  </si>
  <si>
    <t>Op759uC</t>
  </si>
  <si>
    <t>Zylovir52</t>
  </si>
  <si>
    <t>QE001XH</t>
  </si>
  <si>
    <t>Viraparin77</t>
  </si>
  <si>
    <t>bS927JN</t>
  </si>
  <si>
    <t>Qn432uj</t>
  </si>
  <si>
    <t>Serovir24</t>
  </si>
  <si>
    <t>jl504Oe</t>
  </si>
  <si>
    <t>Cefstatin53</t>
  </si>
  <si>
    <t>yX844Zx</t>
  </si>
  <si>
    <t>Zylomab50</t>
  </si>
  <si>
    <t>Qi786gz</t>
  </si>
  <si>
    <t>Cefdipine11</t>
  </si>
  <si>
    <t>aF898gb</t>
  </si>
  <si>
    <t>Loxoxetine84</t>
  </si>
  <si>
    <t>Nausea, Headache, Rash</t>
  </si>
  <si>
    <t>dW364zP</t>
  </si>
  <si>
    <t>Fenodipine81</t>
  </si>
  <si>
    <t>yQ720eK</t>
  </si>
  <si>
    <t>Serostatin21</t>
  </si>
  <si>
    <t>MV777Oh</t>
  </si>
  <si>
    <t>Zylodipine53</t>
  </si>
  <si>
    <t>or859Lm</t>
  </si>
  <si>
    <t>Qe949Ww</t>
  </si>
  <si>
    <t>Daxoprofen13</t>
  </si>
  <si>
    <t>qa722HL</t>
  </si>
  <si>
    <t>Loxostatin75</t>
  </si>
  <si>
    <t>Insomnia, Diarrhea, Constipation</t>
  </si>
  <si>
    <t>AV243Ly</t>
  </si>
  <si>
    <t>Cefparin33</t>
  </si>
  <si>
    <t>Ho167RA</t>
  </si>
  <si>
    <t>Cefzole60</t>
  </si>
  <si>
    <t>Constipation, Dry mouth</t>
  </si>
  <si>
    <t>Ao489TZ</t>
  </si>
  <si>
    <t>Daxozepam88</t>
  </si>
  <si>
    <t>Yf018vY</t>
  </si>
  <si>
    <t>Zylomab96</t>
  </si>
  <si>
    <t>zp783ps</t>
  </si>
  <si>
    <t>Rivazepam93</t>
  </si>
  <si>
    <t>Yd899Lk</t>
  </si>
  <si>
    <t>Cefvir20</t>
  </si>
  <si>
    <t>Headache, Diarrhea, Dizziness</t>
  </si>
  <si>
    <t>nS260sL</t>
  </si>
  <si>
    <t>Amoxvir78</t>
  </si>
  <si>
    <t>HK930Vx</t>
  </si>
  <si>
    <t>Fenoprofen43</t>
  </si>
  <si>
    <t>Zj699Wp</t>
  </si>
  <si>
    <t>Zylocillin11</t>
  </si>
  <si>
    <t>Nausea, Diarrhea, Headache</t>
  </si>
  <si>
    <t>rO916Mq</t>
  </si>
  <si>
    <t>Mecoprofen20</t>
  </si>
  <si>
    <t>qH289Ex</t>
  </si>
  <si>
    <t>Serovir51</t>
  </si>
  <si>
    <t>cq067aG</t>
  </si>
  <si>
    <t>Loxocillin73</t>
  </si>
  <si>
    <t>ij823mw</t>
  </si>
  <si>
    <t>Mecozole65</t>
  </si>
  <si>
    <t>oF116gY</t>
  </si>
  <si>
    <t>Fenoxetine97</t>
  </si>
  <si>
    <t>OW996GR</t>
  </si>
  <si>
    <t>Mecomab58</t>
  </si>
  <si>
    <t>bm508TB</t>
  </si>
  <si>
    <t>Daxovir65</t>
  </si>
  <si>
    <t>yt789Eh</t>
  </si>
  <si>
    <t>Mecomab76</t>
  </si>
  <si>
    <t>Je890fg</t>
  </si>
  <si>
    <t>Cefcillin71</t>
  </si>
  <si>
    <t>SI330Sv</t>
  </si>
  <si>
    <t>Cefdipine49</t>
  </si>
  <si>
    <t>Rn657LZ</t>
  </si>
  <si>
    <t>Serodipine73</t>
  </si>
  <si>
    <t>vl824MB</t>
  </si>
  <si>
    <t>Loxostatin99</t>
  </si>
  <si>
    <t>YD983YZ</t>
  </si>
  <si>
    <t>Amoxstatin76</t>
  </si>
  <si>
    <t>dF402be</t>
  </si>
  <si>
    <t>Fenomab61</t>
  </si>
  <si>
    <t>fs292Ed</t>
  </si>
  <si>
    <t>Cefparin67</t>
  </si>
  <si>
    <t>IF639oJ</t>
  </si>
  <si>
    <t>Loxoparin29</t>
  </si>
  <si>
    <t>HE112pe</t>
  </si>
  <si>
    <t>aG906Ms</t>
  </si>
  <si>
    <t>Amoxzepam69</t>
  </si>
  <si>
    <t>Or902TT</t>
  </si>
  <si>
    <t>Daxovir48</t>
  </si>
  <si>
    <t>AC418jM</t>
  </si>
  <si>
    <t>Viradipine21</t>
  </si>
  <si>
    <t>iu439Ql</t>
  </si>
  <si>
    <t>ik838aX</t>
  </si>
  <si>
    <t>Fenostatin60</t>
  </si>
  <si>
    <t>fS500fV</t>
  </si>
  <si>
    <t>Loxostatin22</t>
  </si>
  <si>
    <t>Ka611nZ</t>
  </si>
  <si>
    <t>Daxodipine10</t>
  </si>
  <si>
    <t>qn773nv</t>
  </si>
  <si>
    <t>Mecomab71</t>
  </si>
  <si>
    <t>EX764cl</t>
  </si>
  <si>
    <t>Mr351NL</t>
  </si>
  <si>
    <t>Virazole57</t>
  </si>
  <si>
    <t>Pi317tQ</t>
  </si>
  <si>
    <t>Daxomab17</t>
  </si>
  <si>
    <t>jq171nR</t>
  </si>
  <si>
    <t>Cefcillin70</t>
  </si>
  <si>
    <t>Blurred vision, Constipation, Dizziness</t>
  </si>
  <si>
    <t>ub341BD</t>
  </si>
  <si>
    <t>Fenomab20</t>
  </si>
  <si>
    <t>Constipation, Insomnia, Diarrhea</t>
  </si>
  <si>
    <t>RE219Mv</t>
  </si>
  <si>
    <t>Cefprofen68</t>
  </si>
  <si>
    <t>WJ649ZW</t>
  </si>
  <si>
    <t>Viradipine93</t>
  </si>
  <si>
    <t>Insomnia, Dry mouth, Nausea</t>
  </si>
  <si>
    <t>YD592uF</t>
  </si>
  <si>
    <t>Seroparin37</t>
  </si>
  <si>
    <t>JA229vj</t>
  </si>
  <si>
    <t>Zyloparin56</t>
  </si>
  <si>
    <t>wn704Xs</t>
  </si>
  <si>
    <t>Daxoprofen91</t>
  </si>
  <si>
    <t>lR765gZ</t>
  </si>
  <si>
    <t>Cefxetine57</t>
  </si>
  <si>
    <t>IR584wj</t>
  </si>
  <si>
    <t>Viraxetine27</t>
  </si>
  <si>
    <t>ww350ZD</t>
  </si>
  <si>
    <t>Loxozepam97</t>
  </si>
  <si>
    <t>bx944XV</t>
  </si>
  <si>
    <t>Mecodipine30</t>
  </si>
  <si>
    <t>zb847IL</t>
  </si>
  <si>
    <t>Mecomab38</t>
  </si>
  <si>
    <t>mO112Pi</t>
  </si>
  <si>
    <t>Viramab24</t>
  </si>
  <si>
    <t>aK400Rx</t>
  </si>
  <si>
    <t>Mecoparin54</t>
  </si>
  <si>
    <t>Fatigue, Insomnia, Constipation</t>
  </si>
  <si>
    <t>vK543Le</t>
  </si>
  <si>
    <t>Mecocillin19</t>
  </si>
  <si>
    <t>Gl652ep</t>
  </si>
  <si>
    <t>Rivaxetine67</t>
  </si>
  <si>
    <t>Dt835vk</t>
  </si>
  <si>
    <t>Cefcillin82</t>
  </si>
  <si>
    <t>eU289Un</t>
  </si>
  <si>
    <t>Daxovir60</t>
  </si>
  <si>
    <t>Diarrhea, Headache, Blurred vision</t>
  </si>
  <si>
    <t>iD307kM</t>
  </si>
  <si>
    <t>Daxoparin77</t>
  </si>
  <si>
    <t>Blurred vision, Dizziness, Headache</t>
  </si>
  <si>
    <t>wZ490Qa</t>
  </si>
  <si>
    <t>Seroparin88</t>
  </si>
  <si>
    <t>mV331IH</t>
  </si>
  <si>
    <t>Loxozole95</t>
  </si>
  <si>
    <t>Vp656Pb</t>
  </si>
  <si>
    <t>Zyloparin40</t>
  </si>
  <si>
    <t>Cm531Qv</t>
  </si>
  <si>
    <t>Loxostatin74</t>
  </si>
  <si>
    <t>Fi236Jp</t>
  </si>
  <si>
    <t>Fenomab23</t>
  </si>
  <si>
    <t>PY007zK</t>
  </si>
  <si>
    <t>Zylodipine24</t>
  </si>
  <si>
    <t>nB000sP</t>
  </si>
  <si>
    <t>Loxomab51</t>
  </si>
  <si>
    <t>fX534Rd</t>
  </si>
  <si>
    <t>Daxoxetine71</t>
  </si>
  <si>
    <t>bL265hp</t>
  </si>
  <si>
    <t>Amoxxetine33</t>
  </si>
  <si>
    <t>Nausea, Constipation</t>
  </si>
  <si>
    <t>gx885bO</t>
  </si>
  <si>
    <t>Fenoprofen19</t>
  </si>
  <si>
    <t>Er602VL</t>
  </si>
  <si>
    <t>Amoxstatin15</t>
  </si>
  <si>
    <t>XD312RG</t>
  </si>
  <si>
    <t>Zylodipine39</t>
  </si>
  <si>
    <t>Constipation, Diarrhea</t>
  </si>
  <si>
    <t>po625ZS</t>
  </si>
  <si>
    <t>Rivavir31</t>
  </si>
  <si>
    <t>Cq042ni</t>
  </si>
  <si>
    <t>Loxoprofen13</t>
  </si>
  <si>
    <t>vP365YQ</t>
  </si>
  <si>
    <t>Fenovir60</t>
  </si>
  <si>
    <t>RB421av</t>
  </si>
  <si>
    <t>Rivazepam79</t>
  </si>
  <si>
    <t>Yu551cY</t>
  </si>
  <si>
    <t>Cefxetine52</t>
  </si>
  <si>
    <t>Insomnia, Rash, Diarrhea</t>
  </si>
  <si>
    <t>iW848Pq</t>
  </si>
  <si>
    <t>Zyloxetine70</t>
  </si>
  <si>
    <t>AI784Tl</t>
  </si>
  <si>
    <t>Zylocillin93</t>
  </si>
  <si>
    <t>Blurred vision, Headache, Nausea</t>
  </si>
  <si>
    <t>Qr143HR</t>
  </si>
  <si>
    <t>Fenozole99</t>
  </si>
  <si>
    <t>Le407Qy</t>
  </si>
  <si>
    <t>Nk708ES</t>
  </si>
  <si>
    <t>Rivaprofen57</t>
  </si>
  <si>
    <t>vh303Uo</t>
  </si>
  <si>
    <t>Mecoparin90</t>
  </si>
  <si>
    <t>eF283RA</t>
  </si>
  <si>
    <t>Amoxprofen78</t>
  </si>
  <si>
    <t>Bm973ce</t>
  </si>
  <si>
    <t>Amoxmab24</t>
  </si>
  <si>
    <t>Insomnia, Dry mouth, Rash</t>
  </si>
  <si>
    <t>Sd286DX</t>
  </si>
  <si>
    <t>Seroparin73</t>
  </si>
  <si>
    <t>je748BY</t>
  </si>
  <si>
    <t>Zyloprofen15</t>
  </si>
  <si>
    <t>mx324Zl</t>
  </si>
  <si>
    <t>Zylozole10</t>
  </si>
  <si>
    <t>pq456Ds</t>
  </si>
  <si>
    <t>Mecodipine28</t>
  </si>
  <si>
    <t>TW313iw</t>
  </si>
  <si>
    <t>OQ179pI</t>
  </si>
  <si>
    <t>Fenoxetine35</t>
  </si>
  <si>
    <t>IT769PD</t>
  </si>
  <si>
    <t>Amoxprofen41</t>
  </si>
  <si>
    <t>re219or</t>
  </si>
  <si>
    <t>Zd628ij</t>
  </si>
  <si>
    <t>Amoxzole99</t>
  </si>
  <si>
    <t>jI358pt</t>
  </si>
  <si>
    <t>Daxovir10</t>
  </si>
  <si>
    <t>Gw995OF</t>
  </si>
  <si>
    <t>Loxoprofen25</t>
  </si>
  <si>
    <t>nB439GG</t>
  </si>
  <si>
    <t>Cefcillin18</t>
  </si>
  <si>
    <t>Insomnia, Rash</t>
  </si>
  <si>
    <t>xh146dA</t>
  </si>
  <si>
    <t>Amoxparin70</t>
  </si>
  <si>
    <t>Xp958NL</t>
  </si>
  <si>
    <t>Mecozepam42</t>
  </si>
  <si>
    <t>xr389Gs</t>
  </si>
  <si>
    <t>Fenomab22</t>
  </si>
  <si>
    <t>Mk216Eq</t>
  </si>
  <si>
    <t>Daxoprofen48</t>
  </si>
  <si>
    <t>cg484Hd</t>
  </si>
  <si>
    <t>Virastatin79</t>
  </si>
  <si>
    <t>Dry mouth, Blurred vision, Rash</t>
  </si>
  <si>
    <t>sU526TW</t>
  </si>
  <si>
    <t>Gv897YY</t>
  </si>
  <si>
    <t>jH184UA</t>
  </si>
  <si>
    <t>Loxostatin90</t>
  </si>
  <si>
    <t>RR327SN</t>
  </si>
  <si>
    <t>Cefzepam74</t>
  </si>
  <si>
    <t>wO507dT</t>
  </si>
  <si>
    <t>Loxovir20</t>
  </si>
  <si>
    <t>Constipation, Nausea, Dizziness</t>
  </si>
  <si>
    <t>wS919WU</t>
  </si>
  <si>
    <t>Daxostatin56</t>
  </si>
  <si>
    <t>sI246oc</t>
  </si>
  <si>
    <t>Fenocillin61</t>
  </si>
  <si>
    <t>fn861kG</t>
  </si>
  <si>
    <t>Mecozepam56</t>
  </si>
  <si>
    <t>be693BM</t>
  </si>
  <si>
    <t>Fatigue, Constipation, Dizziness</t>
  </si>
  <si>
    <t>ty832Cf</t>
  </si>
  <si>
    <t>Zylodipine11</t>
  </si>
  <si>
    <t>JW257Kg</t>
  </si>
  <si>
    <t>Zylostatin83</t>
  </si>
  <si>
    <t>IX994Kr</t>
  </si>
  <si>
    <t>Zylocillin52</t>
  </si>
  <si>
    <t>Ho447BV</t>
  </si>
  <si>
    <t>Viradipine59</t>
  </si>
  <si>
    <t>iI018CX</t>
  </si>
  <si>
    <t>Amoxstatin72</t>
  </si>
  <si>
    <t>iV144GU</t>
  </si>
  <si>
    <t>Daxoprofen38</t>
  </si>
  <si>
    <t>CS718pR</t>
  </si>
  <si>
    <t>Mu236Dt</t>
  </si>
  <si>
    <t>Rivaprofen41</t>
  </si>
  <si>
    <t>Headache, Rash, Diarrhea</t>
  </si>
  <si>
    <t>me151eV</t>
  </si>
  <si>
    <t>Daxovir45</t>
  </si>
  <si>
    <t>FB752nl</t>
  </si>
  <si>
    <t>Viravir69</t>
  </si>
  <si>
    <t>gC964lP</t>
  </si>
  <si>
    <t>Mecomab88</t>
  </si>
  <si>
    <t>wE774yD</t>
  </si>
  <si>
    <t>Viracillin59</t>
  </si>
  <si>
    <t>xj200dT</t>
  </si>
  <si>
    <t>Cefcillin89</t>
  </si>
  <si>
    <t>hS307DZ</t>
  </si>
  <si>
    <t>Zylocillin40</t>
  </si>
  <si>
    <t>dc945ga</t>
  </si>
  <si>
    <t>Mecodipine68</t>
  </si>
  <si>
    <t>HQ707KI</t>
  </si>
  <si>
    <t>Fenoparin59</t>
  </si>
  <si>
    <t>ha037UZ</t>
  </si>
  <si>
    <t>Daxozole99</t>
  </si>
  <si>
    <t>SC076GR</t>
  </si>
  <si>
    <t>Amoxzepam92</t>
  </si>
  <si>
    <t>Insomnia, Constipation, Nausea</t>
  </si>
  <si>
    <t>ha192Eg</t>
  </si>
  <si>
    <t>Rivazepam47</t>
  </si>
  <si>
    <t>Headache, Rash, Dry mouth</t>
  </si>
  <si>
    <t>ZB104IE</t>
  </si>
  <si>
    <t>Daxodipine35</t>
  </si>
  <si>
    <t>JM349aQ</t>
  </si>
  <si>
    <t>Zylozole54</t>
  </si>
  <si>
    <t>Li914Bk</t>
  </si>
  <si>
    <t>Fenoxetine70</t>
  </si>
  <si>
    <t>Nr333qh</t>
  </si>
  <si>
    <t>Daxocillin27</t>
  </si>
  <si>
    <t>Fatigue, Dry mouth, Headache</t>
  </si>
  <si>
    <t>vI628lc</t>
  </si>
  <si>
    <t>Loxovir84</t>
  </si>
  <si>
    <t>Rash, Dizziness, Headache</t>
  </si>
  <si>
    <t>Vv071YR</t>
  </si>
  <si>
    <t>Amoxzepam17</t>
  </si>
  <si>
    <t>VA477SI</t>
  </si>
  <si>
    <t>Loxostatin33</t>
  </si>
  <si>
    <t>Dw535GM</t>
  </si>
  <si>
    <t>Zylocillin33</t>
  </si>
  <si>
    <t>Nw066zy</t>
  </si>
  <si>
    <t>Viraxetine45</t>
  </si>
  <si>
    <t>Pb302pY</t>
  </si>
  <si>
    <t>Fenostatin64</t>
  </si>
  <si>
    <t>mQ198JZ</t>
  </si>
  <si>
    <t>Cefzepam52</t>
  </si>
  <si>
    <t>Vg058qs</t>
  </si>
  <si>
    <t>Serostatin43</t>
  </si>
  <si>
    <t>AH542Et</t>
  </si>
  <si>
    <t>Mecoprofen80</t>
  </si>
  <si>
    <t>FJ383DO</t>
  </si>
  <si>
    <t>Seroxetine59</t>
  </si>
  <si>
    <t>yf101cQ</t>
  </si>
  <si>
    <t>Cefvir30</t>
  </si>
  <si>
    <t>VE392jt</t>
  </si>
  <si>
    <t>Cefprofen16</t>
  </si>
  <si>
    <t>yK805hQ</t>
  </si>
  <si>
    <t>Insomnia, Nausea, Blurred vision</t>
  </si>
  <si>
    <t>Xp827Eu</t>
  </si>
  <si>
    <t>Zylodipine73</t>
  </si>
  <si>
    <t>rd895HD</t>
  </si>
  <si>
    <t>Rivaprofen90</t>
  </si>
  <si>
    <t>Constipation, Dry mouth, Fatigue</t>
  </si>
  <si>
    <t>yi263iG</t>
  </si>
  <si>
    <t>Cefmab65</t>
  </si>
  <si>
    <t>qZ971QW</t>
  </si>
  <si>
    <t>Cefstatin56</t>
  </si>
  <si>
    <t>Fj325Dk</t>
  </si>
  <si>
    <t>Rivadipine14</t>
  </si>
  <si>
    <t>Yp979mj</t>
  </si>
  <si>
    <t>Amoxcillin24</t>
  </si>
  <si>
    <t>PU474Dd</t>
  </si>
  <si>
    <t>Daxoxetine24</t>
  </si>
  <si>
    <t>gW452yL</t>
  </si>
  <si>
    <t>KJ138hf</t>
  </si>
  <si>
    <t>Amoxxetine76</t>
  </si>
  <si>
    <t>iI725mJ</t>
  </si>
  <si>
    <t>Seroxetine27</t>
  </si>
  <si>
    <t>ui513iF</t>
  </si>
  <si>
    <t>Amoxzole10</t>
  </si>
  <si>
    <t>Aw461xm</t>
  </si>
  <si>
    <t>Loxoparin86</t>
  </si>
  <si>
    <t>Nm194mj</t>
  </si>
  <si>
    <t>Cefstatin62</t>
  </si>
  <si>
    <t>gs034dY</t>
  </si>
  <si>
    <t>Blurred vision, Insomnia, Headache</t>
  </si>
  <si>
    <t>IA182eS</t>
  </si>
  <si>
    <t>Rivacillin38</t>
  </si>
  <si>
    <t>Constipation, Headache, Blurred vision</t>
  </si>
  <si>
    <t>vA655Be</t>
  </si>
  <si>
    <t>Zylovir19</t>
  </si>
  <si>
    <t>Nausea, Diarrhea, Rash</t>
  </si>
  <si>
    <t>Yx196KO</t>
  </si>
  <si>
    <t>Amoxstatin18</t>
  </si>
  <si>
    <t>On163lQ</t>
  </si>
  <si>
    <t>Seroprofen87</t>
  </si>
  <si>
    <t>cx907HY</t>
  </si>
  <si>
    <t>Rivamab18</t>
  </si>
  <si>
    <t>pu865cc</t>
  </si>
  <si>
    <t>Cefdipine27</t>
  </si>
  <si>
    <t>EZ090yj</t>
  </si>
  <si>
    <t>Fenozole78</t>
  </si>
  <si>
    <t>nl218zT</t>
  </si>
  <si>
    <t>Rivazole38</t>
  </si>
  <si>
    <t>iU259nf</t>
  </si>
  <si>
    <t>Amoxcillin20</t>
  </si>
  <si>
    <t>pM905WX</t>
  </si>
  <si>
    <t>Viraprofen22</t>
  </si>
  <si>
    <t>Fatigue, Insomnia, Rash</t>
  </si>
  <si>
    <t>rm197Ax</t>
  </si>
  <si>
    <t>Daxomab31</t>
  </si>
  <si>
    <t>qU668XH</t>
  </si>
  <si>
    <t>Seromab51</t>
  </si>
  <si>
    <t>pg812cq</t>
  </si>
  <si>
    <t>Amoxcillin99</t>
  </si>
  <si>
    <t>qh257fI</t>
  </si>
  <si>
    <t>Mecomab93</t>
  </si>
  <si>
    <t>Constipation, Rash, Dizziness</t>
  </si>
  <si>
    <t>Wr968ZA</t>
  </si>
  <si>
    <t>Amoxdipine37</t>
  </si>
  <si>
    <t>VR156YX</t>
  </si>
  <si>
    <t>Amoxmab35</t>
  </si>
  <si>
    <t>sf588CC</t>
  </si>
  <si>
    <t>Oc656Km</t>
  </si>
  <si>
    <t>Mecozole13</t>
  </si>
  <si>
    <t>NU061bq</t>
  </si>
  <si>
    <t>Fenocillin12</t>
  </si>
  <si>
    <t>PH156Lf</t>
  </si>
  <si>
    <t>Fenodipine50</t>
  </si>
  <si>
    <t>Fatigue, Diarrhea, Nausea</t>
  </si>
  <si>
    <t>Ih239uu</t>
  </si>
  <si>
    <t>Rivavir24</t>
  </si>
  <si>
    <t>vY262lM</t>
  </si>
  <si>
    <t>Do047Fb</t>
  </si>
  <si>
    <t>Rivastatin65</t>
  </si>
  <si>
    <t>Dizziness, Dry mouth, Insomnia</t>
  </si>
  <si>
    <t>Vx769SG</t>
  </si>
  <si>
    <t>Amoxvir48</t>
  </si>
  <si>
    <t>cz117aL</t>
  </si>
  <si>
    <t>Serodipine79</t>
  </si>
  <si>
    <t>wc420WH</t>
  </si>
  <si>
    <t>Amoxzepam42</t>
  </si>
  <si>
    <t>Rash, Diarrhea, Nausea</t>
  </si>
  <si>
    <t>tc991WJ</t>
  </si>
  <si>
    <t>Amoxvir11</t>
  </si>
  <si>
    <t>Dry mouth, Constipation, Headache</t>
  </si>
  <si>
    <t>gQ115Gk</t>
  </si>
  <si>
    <t>Fenomab44</t>
  </si>
  <si>
    <t>Insomnia, Constipation, Blurred vision</t>
  </si>
  <si>
    <t>Sp948nQ</t>
  </si>
  <si>
    <t>Loxoparin11</t>
  </si>
  <si>
    <t>vQ598mA</t>
  </si>
  <si>
    <t>Cefvir19</t>
  </si>
  <si>
    <t>Yf484sY</t>
  </si>
  <si>
    <t>Serocillin77</t>
  </si>
  <si>
    <t>kN309do</t>
  </si>
  <si>
    <t>Virazepam43</t>
  </si>
  <si>
    <t>hm845ST</t>
  </si>
  <si>
    <t>Fenozole72</t>
  </si>
  <si>
    <t>ep867xQ</t>
  </si>
  <si>
    <t>Fenozepam66</t>
  </si>
  <si>
    <t>QR387zk</t>
  </si>
  <si>
    <t>jM022UA</t>
  </si>
  <si>
    <t>Fenoparin68</t>
  </si>
  <si>
    <t>rX122FU</t>
  </si>
  <si>
    <t>Mecoparin51</t>
  </si>
  <si>
    <t>wT912OH</t>
  </si>
  <si>
    <t>Virazepam54</t>
  </si>
  <si>
    <t>hC420Mx</t>
  </si>
  <si>
    <t>Mecocillin38</t>
  </si>
  <si>
    <t>XS505BY</t>
  </si>
  <si>
    <t>Serovir13</t>
  </si>
  <si>
    <t>Zm132Qk</t>
  </si>
  <si>
    <t>Rivazole17</t>
  </si>
  <si>
    <t>gH191VP</t>
  </si>
  <si>
    <t>Mecocillin73</t>
  </si>
  <si>
    <t>XW308mZ</t>
  </si>
  <si>
    <t>Lh717xx</t>
  </si>
  <si>
    <t>Mecozole26</t>
  </si>
  <si>
    <t>HY389IO</t>
  </si>
  <si>
    <t>Mecozole64</t>
  </si>
  <si>
    <t>vf716DG</t>
  </si>
  <si>
    <t>Rivastatin25</t>
  </si>
  <si>
    <t>CJ386Vf</t>
  </si>
  <si>
    <t>Amoxvir17</t>
  </si>
  <si>
    <t>Dr617rG</t>
  </si>
  <si>
    <t>Zyloxetine60</t>
  </si>
  <si>
    <t>RP007xC</t>
  </si>
  <si>
    <t>Amoxzole79</t>
  </si>
  <si>
    <t>mF063YZ</t>
  </si>
  <si>
    <t>Seroprofen54</t>
  </si>
  <si>
    <t>Gy800cA</t>
  </si>
  <si>
    <t>Viradipine27</t>
  </si>
  <si>
    <t>fp570wD</t>
  </si>
  <si>
    <t>Amoxvir90</t>
  </si>
  <si>
    <t>LU582UF</t>
  </si>
  <si>
    <t>Serocillin20</t>
  </si>
  <si>
    <t>Wo652Mu</t>
  </si>
  <si>
    <t>Zylomab78</t>
  </si>
  <si>
    <t>Dizziness, Blurred vision, Fatigue</t>
  </si>
  <si>
    <t>Df660uJ</t>
  </si>
  <si>
    <t>Rivadipine80</t>
  </si>
  <si>
    <t>Rash, Diarrhea, Fatigue</t>
  </si>
  <si>
    <t>tq598Hq</t>
  </si>
  <si>
    <t>Mecomab56</t>
  </si>
  <si>
    <t>Headache, Rash, Constipation</t>
  </si>
  <si>
    <t>Sw153Dn</t>
  </si>
  <si>
    <t>Loxodipine79</t>
  </si>
  <si>
    <t>ix845GG</t>
  </si>
  <si>
    <t>Zylostatin96</t>
  </si>
  <si>
    <t>NL983NG</t>
  </si>
  <si>
    <t>Loxoparin38</t>
  </si>
  <si>
    <t>Zi355wg</t>
  </si>
  <si>
    <t>Viraparin42</t>
  </si>
  <si>
    <t>gA848Rl</t>
  </si>
  <si>
    <t>Mecoxetine84</t>
  </si>
  <si>
    <t>Ui365tA</t>
  </si>
  <si>
    <t>Zylozepam93</t>
  </si>
  <si>
    <t>Bp250LC</t>
  </si>
  <si>
    <t>Daxozole90</t>
  </si>
  <si>
    <t>id150zP</t>
  </si>
  <si>
    <t>VV281Aa</t>
  </si>
  <si>
    <t>Zylozole90</t>
  </si>
  <si>
    <t>Fatigue, Rash, Dizziness</t>
  </si>
  <si>
    <t>qF651MH</t>
  </si>
  <si>
    <t>Cefmab30</t>
  </si>
  <si>
    <t>fK748nJ</t>
  </si>
  <si>
    <t>Fenozepam87</t>
  </si>
  <si>
    <t>Ye880hy</t>
  </si>
  <si>
    <t>Serocillin53</t>
  </si>
  <si>
    <t>QE806Il</t>
  </si>
  <si>
    <t>Daxodipine57</t>
  </si>
  <si>
    <t>GU349SK</t>
  </si>
  <si>
    <t>Virastatin66</t>
  </si>
  <si>
    <t>Diarrhea, Dizziness, Nausea</t>
  </si>
  <si>
    <t>rO464jl</t>
  </si>
  <si>
    <t>Mecostatin24</t>
  </si>
  <si>
    <t>kD147Df</t>
  </si>
  <si>
    <t>Daxozole69</t>
  </si>
  <si>
    <t>dR684vH</t>
  </si>
  <si>
    <t>Fenodipine58</t>
  </si>
  <si>
    <t>iO299oa</t>
  </si>
  <si>
    <t>Daxozole63</t>
  </si>
  <si>
    <t>hN580UX</t>
  </si>
  <si>
    <t>Loxomab60</t>
  </si>
  <si>
    <t>tt765vt</t>
  </si>
  <si>
    <t>Amoxvir42</t>
  </si>
  <si>
    <t>Blurred vision, Dizziness, Rash</t>
  </si>
  <si>
    <t>rB579gV</t>
  </si>
  <si>
    <t>Mecostatin52</t>
  </si>
  <si>
    <t>Jp852gj</t>
  </si>
  <si>
    <t>Cefprofen77</t>
  </si>
  <si>
    <t>QO494Qt</t>
  </si>
  <si>
    <t>Fenozole21</t>
  </si>
  <si>
    <t>Blurred vision, Constipation, Insomnia</t>
  </si>
  <si>
    <t>xm465ME</t>
  </si>
  <si>
    <t>Virastatin87</t>
  </si>
  <si>
    <t>Ta415LV</t>
  </si>
  <si>
    <t>Viradipine12</t>
  </si>
  <si>
    <t>Ee678Mm</t>
  </si>
  <si>
    <t>Loxozole27</t>
  </si>
  <si>
    <t>dy462qw</t>
  </si>
  <si>
    <t>Viradipine98</t>
  </si>
  <si>
    <t>iL044jS</t>
  </si>
  <si>
    <t>Mecoprofen38</t>
  </si>
  <si>
    <t>PU882pU</t>
  </si>
  <si>
    <t>Loxozole67</t>
  </si>
  <si>
    <t>BV627bO</t>
  </si>
  <si>
    <t>Mecostatin80</t>
  </si>
  <si>
    <t>vh915AJ</t>
  </si>
  <si>
    <t>Loxodipine37</t>
  </si>
  <si>
    <t>Headache, Fatigue, Rash</t>
  </si>
  <si>
    <t>wh260FG</t>
  </si>
  <si>
    <t>Loxoxetine28</t>
  </si>
  <si>
    <t>Blurred vision, Fatigue, Diarrhea</t>
  </si>
  <si>
    <t>vq070xL</t>
  </si>
  <si>
    <t>nY559Hl</t>
  </si>
  <si>
    <t>Cefstatin99</t>
  </si>
  <si>
    <t>Headache, Rash</t>
  </si>
  <si>
    <t>NH957lT</t>
  </si>
  <si>
    <t>Zylodipine70</t>
  </si>
  <si>
    <t>VM988FL</t>
  </si>
  <si>
    <t>Amoxzole72</t>
  </si>
  <si>
    <t>WG642bG</t>
  </si>
  <si>
    <t>Zylodipine64</t>
  </si>
  <si>
    <t>Xz585tl</t>
  </si>
  <si>
    <t>Rivadipine84</t>
  </si>
  <si>
    <t>Headache, Dizziness, Blurred vision</t>
  </si>
  <si>
    <t>GD774Fj</t>
  </si>
  <si>
    <t>Serozole18</t>
  </si>
  <si>
    <t>hT289Dr</t>
  </si>
  <si>
    <t>Cefmab82</t>
  </si>
  <si>
    <t>Sk326iz</t>
  </si>
  <si>
    <t>Viraxetine30</t>
  </si>
  <si>
    <t>fW004NY</t>
  </si>
  <si>
    <t>Fenovir93</t>
  </si>
  <si>
    <t>sY405OV</t>
  </si>
  <si>
    <t>Cefstatin26</t>
  </si>
  <si>
    <t>ct482SQ</t>
  </si>
  <si>
    <t>LY276nO</t>
  </si>
  <si>
    <t>Zylostatin37</t>
  </si>
  <si>
    <t>HK675NJ</t>
  </si>
  <si>
    <t>Amoxparin20</t>
  </si>
  <si>
    <t>yf102VF</t>
  </si>
  <si>
    <t>Viraprofen98</t>
  </si>
  <si>
    <t>Insomnia, Nausea, Headache</t>
  </si>
  <si>
    <t>BE811qy</t>
  </si>
  <si>
    <t>Fenomab34</t>
  </si>
  <si>
    <t>Nausea, Fatigue, Constipation</t>
  </si>
  <si>
    <t>dL166pc</t>
  </si>
  <si>
    <t>Mecozepam22</t>
  </si>
  <si>
    <t>bH071qj</t>
  </si>
  <si>
    <t>Mecoprofen12</t>
  </si>
  <si>
    <t>Dry mouth, Headache, Dizziness</t>
  </si>
  <si>
    <t>sO919Vp</t>
  </si>
  <si>
    <t>Rivastatin94</t>
  </si>
  <si>
    <t>qn978jK</t>
  </si>
  <si>
    <t>Zyloprofen91</t>
  </si>
  <si>
    <t>Xp156Sy</t>
  </si>
  <si>
    <t>Seroprofen32</t>
  </si>
  <si>
    <t>uq228fM</t>
  </si>
  <si>
    <t>ov577oT</t>
  </si>
  <si>
    <t>Cefzepam39</t>
  </si>
  <si>
    <t>jc980fJ</t>
  </si>
  <si>
    <t>Viramab47</t>
  </si>
  <si>
    <t>vB023UU</t>
  </si>
  <si>
    <t>Serodipine14</t>
  </si>
  <si>
    <t>Gq019Gg</t>
  </si>
  <si>
    <t>Daxodipine39</t>
  </si>
  <si>
    <t>MD697qg</t>
  </si>
  <si>
    <t>Zylocillin37</t>
  </si>
  <si>
    <t>VC567qA</t>
  </si>
  <si>
    <t>EB104LK</t>
  </si>
  <si>
    <t>Loxoxetine82</t>
  </si>
  <si>
    <t>Headache, Insomnia, Dizziness</t>
  </si>
  <si>
    <t>ig026jN</t>
  </si>
  <si>
    <t>Daxozole55</t>
  </si>
  <si>
    <t>al896Uw</t>
  </si>
  <si>
    <t>Daxoparin16</t>
  </si>
  <si>
    <t>Nausea, Diarrhea, Insomnia</t>
  </si>
  <si>
    <t>Nw209ik</t>
  </si>
  <si>
    <t>vq283BO</t>
  </si>
  <si>
    <t>Rivastatin63</t>
  </si>
  <si>
    <t>vc293ya</t>
  </si>
  <si>
    <t>YF864FO</t>
  </si>
  <si>
    <t>Rivacillin79</t>
  </si>
  <si>
    <t>VI505Yw</t>
  </si>
  <si>
    <t>Serozole10</t>
  </si>
  <si>
    <t>Tu056nB</t>
  </si>
  <si>
    <t>Serodipine86</t>
  </si>
  <si>
    <t>Ww296Nm</t>
  </si>
  <si>
    <t>jN868kk</t>
  </si>
  <si>
    <t>Cefzepam40</t>
  </si>
  <si>
    <t>eZ646Rh</t>
  </si>
  <si>
    <t>Mecozole80</t>
  </si>
  <si>
    <t>cO782hU</t>
  </si>
  <si>
    <t>Daxoprofen19</t>
  </si>
  <si>
    <t>Dizziness, Constipation, Diarrhea</t>
  </si>
  <si>
    <t>Cy846Zv</t>
  </si>
  <si>
    <t>Zylovir68</t>
  </si>
  <si>
    <t>dI424HH</t>
  </si>
  <si>
    <t>Amoxzepam66</t>
  </si>
  <si>
    <t>sB448sl</t>
  </si>
  <si>
    <t>Cefmab35</t>
  </si>
  <si>
    <t>bv187NZ</t>
  </si>
  <si>
    <t>Daxocillin76</t>
  </si>
  <si>
    <t>WN787Ys</t>
  </si>
  <si>
    <t>Daxomab47</t>
  </si>
  <si>
    <t>bt028rl</t>
  </si>
  <si>
    <t>Viradipine83</t>
  </si>
  <si>
    <t>qG930cV</t>
  </si>
  <si>
    <t>Loxoparin53</t>
  </si>
  <si>
    <t>wt915yv</t>
  </si>
  <si>
    <t>Zylozole55</t>
  </si>
  <si>
    <t>Fatigue, Blurred vision, Constipation</t>
  </si>
  <si>
    <t>sD219uS</t>
  </si>
  <si>
    <t>Cefdipine66</t>
  </si>
  <si>
    <t>Uf970RC</t>
  </si>
  <si>
    <t>Fenodipine59</t>
  </si>
  <si>
    <t>PE442mx</t>
  </si>
  <si>
    <t>Loxomab12</t>
  </si>
  <si>
    <t>DX354yn</t>
  </si>
  <si>
    <t>Virastatin68</t>
  </si>
  <si>
    <t>Blurred vision, Diarrhea, Fatigue</t>
  </si>
  <si>
    <t>Ft837Xd</t>
  </si>
  <si>
    <t>Viracillin53</t>
  </si>
  <si>
    <t>Ul906cf</t>
  </si>
  <si>
    <t>Rivacillin17</t>
  </si>
  <si>
    <t>IS692nq</t>
  </si>
  <si>
    <t>Zyloparin67</t>
  </si>
  <si>
    <t>Fatigue, Nausea, Diarrhea</t>
  </si>
  <si>
    <t>sG222ac</t>
  </si>
  <si>
    <t>Cefdipine33</t>
  </si>
  <si>
    <t>NG960St</t>
  </si>
  <si>
    <t>Daxostatin60</t>
  </si>
  <si>
    <t>UK041Hq</t>
  </si>
  <si>
    <t>Seroxetine47</t>
  </si>
  <si>
    <t>ae226Js</t>
  </si>
  <si>
    <t>Fenodipine90</t>
  </si>
  <si>
    <t>Diarrhea, Headache, Constipation</t>
  </si>
  <si>
    <t>Td676GK</t>
  </si>
  <si>
    <t>Mecodipine96</t>
  </si>
  <si>
    <t>ln696FT</t>
  </si>
  <si>
    <t>Fenozole12</t>
  </si>
  <si>
    <t>Headache, Dizziness, Diarrhea</t>
  </si>
  <si>
    <t>YU996IQ</t>
  </si>
  <si>
    <t>Zylozepam69</t>
  </si>
  <si>
    <t>Wd416xC</t>
  </si>
  <si>
    <t>Fenozepam72</t>
  </si>
  <si>
    <t>Fatigue, Rash, Insomnia</t>
  </si>
  <si>
    <t>vt843GB</t>
  </si>
  <si>
    <t>Serostatin49</t>
  </si>
  <si>
    <t>ts633HA</t>
  </si>
  <si>
    <t>Mecoparin46</t>
  </si>
  <si>
    <t>qQ041Bs</t>
  </si>
  <si>
    <t>Fenovir55</t>
  </si>
  <si>
    <t>il034tj</t>
  </si>
  <si>
    <t>Rivazepam43</t>
  </si>
  <si>
    <t>kx788PY</t>
  </si>
  <si>
    <t>Daxozepam62</t>
  </si>
  <si>
    <t>xn576vV</t>
  </si>
  <si>
    <t>Viradipine30</t>
  </si>
  <si>
    <t>Dry mouth, Insomnia, Diarrhea</t>
  </si>
  <si>
    <t>Vt127GC</t>
  </si>
  <si>
    <t>Zylomab45</t>
  </si>
  <si>
    <t>YF297Bd</t>
  </si>
  <si>
    <t>Rivavir52</t>
  </si>
  <si>
    <t>so065nd</t>
  </si>
  <si>
    <t>Zylozole39</t>
  </si>
  <si>
    <t>BX275Pp</t>
  </si>
  <si>
    <t>Cefzole24</t>
  </si>
  <si>
    <t>sG619Qs</t>
  </si>
  <si>
    <t>Amoxstatin17</t>
  </si>
  <si>
    <t>Bf813Pi</t>
  </si>
  <si>
    <t>Daxoxetine56</t>
  </si>
  <si>
    <t>Um663Ev</t>
  </si>
  <si>
    <t>Cefcillin92</t>
  </si>
  <si>
    <t>zJ499qE</t>
  </si>
  <si>
    <t>Fenovir28</t>
  </si>
  <si>
    <t>DA593lw</t>
  </si>
  <si>
    <t>jS798kc</t>
  </si>
  <si>
    <t>Amoxvir87</t>
  </si>
  <si>
    <t>yn443zD</t>
  </si>
  <si>
    <t>sB399gR</t>
  </si>
  <si>
    <t>Loxoxetine57</t>
  </si>
  <si>
    <t>ad788Fe</t>
  </si>
  <si>
    <t>Cefcillin66</t>
  </si>
  <si>
    <t>ie380qS</t>
  </si>
  <si>
    <t>Amoxmab92</t>
  </si>
  <si>
    <t>VU140Rc</t>
  </si>
  <si>
    <t>oU236xw</t>
  </si>
  <si>
    <t>Loxoprofen22</t>
  </si>
  <si>
    <t>oi575XF</t>
  </si>
  <si>
    <t>Rivazepam51</t>
  </si>
  <si>
    <t>VD865mw</t>
  </si>
  <si>
    <t>Cefprofen87</t>
  </si>
  <si>
    <t>Qi582YF</t>
  </si>
  <si>
    <t>Cefcillin76</t>
  </si>
  <si>
    <t>oC837qe</t>
  </si>
  <si>
    <t>Viraprofen97</t>
  </si>
  <si>
    <t>mg093GN</t>
  </si>
  <si>
    <t>Rivaprofen26</t>
  </si>
  <si>
    <t>Np099ZN</t>
  </si>
  <si>
    <t>Oz155vR</t>
  </si>
  <si>
    <t>Fenoparin73</t>
  </si>
  <si>
    <t>MO282Sh</t>
  </si>
  <si>
    <t>Daxovir25</t>
  </si>
  <si>
    <t>FK153XI</t>
  </si>
  <si>
    <t>Fenozepam59</t>
  </si>
  <si>
    <t>Fatigue, Nausea, Headache</t>
  </si>
  <si>
    <t>Ye315az</t>
  </si>
  <si>
    <t>Fenomab98</t>
  </si>
  <si>
    <t>Ko480Eb</t>
  </si>
  <si>
    <t>Mecoxetine40</t>
  </si>
  <si>
    <t>iN696DZ</t>
  </si>
  <si>
    <t>Fenovir47</t>
  </si>
  <si>
    <t>Diarrhea, Dizziness, Headache</t>
  </si>
  <si>
    <t>Pw343Kx</t>
  </si>
  <si>
    <t>Zylozepam82</t>
  </si>
  <si>
    <t>Fatigue, Nausea, Rash</t>
  </si>
  <si>
    <t>cq181Rd</t>
  </si>
  <si>
    <t>Amoxdipine16</t>
  </si>
  <si>
    <t>Nl848Qu</t>
  </si>
  <si>
    <t>Rivacillin18</t>
  </si>
  <si>
    <t>bf360aw</t>
  </si>
  <si>
    <t>Mecoparin60</t>
  </si>
  <si>
    <t>HV582Ar</t>
  </si>
  <si>
    <t>Amoxparin58</t>
  </si>
  <si>
    <t>Ei399YV</t>
  </si>
  <si>
    <t>Loxovir85</t>
  </si>
  <si>
    <t>HU263la</t>
  </si>
  <si>
    <t>Fenomab83</t>
  </si>
  <si>
    <t>nz286GH</t>
  </si>
  <si>
    <t>Daxodipine62</t>
  </si>
  <si>
    <t>Headache, Insomnia, Constipation</t>
  </si>
  <si>
    <t>ii200Mu</t>
  </si>
  <si>
    <t>Mecozole43</t>
  </si>
  <si>
    <t>DI068hN</t>
  </si>
  <si>
    <t>Daxostatin18</t>
  </si>
  <si>
    <t>NU856jv</t>
  </si>
  <si>
    <t>Rivaparin13</t>
  </si>
  <si>
    <t>Ir110BO</t>
  </si>
  <si>
    <t>Rivaxetine77</t>
  </si>
  <si>
    <t>iY881Xk</t>
  </si>
  <si>
    <t>Insomnia, Headache, Dizziness</t>
  </si>
  <si>
    <t>Uo062ax</t>
  </si>
  <si>
    <t>rg269xM</t>
  </si>
  <si>
    <t>Rivaxetine11</t>
  </si>
  <si>
    <t>JD495Gt</t>
  </si>
  <si>
    <t>Zyloprofen77</t>
  </si>
  <si>
    <t>Fatigue, Dry mouth, Rash</t>
  </si>
  <si>
    <t>Bi937DH</t>
  </si>
  <si>
    <t>Rivastatin76</t>
  </si>
  <si>
    <t>JI212Yt</t>
  </si>
  <si>
    <t>hs502gu</t>
  </si>
  <si>
    <t>Loxocillin32</t>
  </si>
  <si>
    <t>Ng413ep</t>
  </si>
  <si>
    <t>Headache, Insomnia, Rash</t>
  </si>
  <si>
    <t>iI448Tl</t>
  </si>
  <si>
    <t>Daxodipine55</t>
  </si>
  <si>
    <t>NX775nC</t>
  </si>
  <si>
    <t>Loxodipine53</t>
  </si>
  <si>
    <t>iN527DJ</t>
  </si>
  <si>
    <t>Loxomab10</t>
  </si>
  <si>
    <t>RI646fs</t>
  </si>
  <si>
    <t>Zylocillin56</t>
  </si>
  <si>
    <t>Headache, Blurred vision, Dizziness</t>
  </si>
  <si>
    <t>mi767sI</t>
  </si>
  <si>
    <t>Fenoxetine22</t>
  </si>
  <si>
    <t>rN287RJ</t>
  </si>
  <si>
    <t>IJ015bF</t>
  </si>
  <si>
    <t>Mecoparin96</t>
  </si>
  <si>
    <t>Dry mouth, Nausea, Headache</t>
  </si>
  <si>
    <t>du624oB</t>
  </si>
  <si>
    <t>hd627LO</t>
  </si>
  <si>
    <t>Rivastatin10</t>
  </si>
  <si>
    <t>Dry mouth, Rash, Blurred vision</t>
  </si>
  <si>
    <t>OA280Is</t>
  </si>
  <si>
    <t>Fenozole69</t>
  </si>
  <si>
    <t>mx583Xb</t>
  </si>
  <si>
    <t>Amoxzole90</t>
  </si>
  <si>
    <t>PD910bm</t>
  </si>
  <si>
    <t>Fenovir48</t>
  </si>
  <si>
    <t>Mb080Md</t>
  </si>
  <si>
    <t>Zylodipine29</t>
  </si>
  <si>
    <t>RN724og</t>
  </si>
  <si>
    <t>zw422kd</t>
  </si>
  <si>
    <t>Amoxvir76</t>
  </si>
  <si>
    <t>Diarrhea, Rash, Constipation</t>
  </si>
  <si>
    <t>Dr145wx</t>
  </si>
  <si>
    <t>Fenoxetine90</t>
  </si>
  <si>
    <t>jY620aY</t>
  </si>
  <si>
    <t>Fenozole50</t>
  </si>
  <si>
    <t>ks688iH</t>
  </si>
  <si>
    <t>ih674hH</t>
  </si>
  <si>
    <t>Viraparin94</t>
  </si>
  <si>
    <t>Fatigue, Insomnia, Blurred vision</t>
  </si>
  <si>
    <t>SS017Ta</t>
  </si>
  <si>
    <t>EH773kg</t>
  </si>
  <si>
    <t>Loxozole77</t>
  </si>
  <si>
    <t>QY035Bm</t>
  </si>
  <si>
    <t>Loxomab17</t>
  </si>
  <si>
    <t>xT470NN</t>
  </si>
  <si>
    <t>Insomnia, Dry mouth, Headache</t>
  </si>
  <si>
    <t>LD319Nz</t>
  </si>
  <si>
    <t>Loxozole87</t>
  </si>
  <si>
    <t>xA990SE</t>
  </si>
  <si>
    <t>Daxodipine97</t>
  </si>
  <si>
    <t>Sq662Ij</t>
  </si>
  <si>
    <t>Rivamab71</t>
  </si>
  <si>
    <t>hX170bi</t>
  </si>
  <si>
    <t>Insomnia, Dizziness, Blurred vision</t>
  </si>
  <si>
    <t>pe566EE</t>
  </si>
  <si>
    <t>Amoxzepam43</t>
  </si>
  <si>
    <t>Yd584Yt</t>
  </si>
  <si>
    <t>Mecoxetine73</t>
  </si>
  <si>
    <t>Rash, Constipation, Dizziness</t>
  </si>
  <si>
    <t>mA100uY</t>
  </si>
  <si>
    <t>Serozepam55</t>
  </si>
  <si>
    <t>TY055uL</t>
  </si>
  <si>
    <t>Loxozole76</t>
  </si>
  <si>
    <t>xw052yN</t>
  </si>
  <si>
    <t>Loxoprofen19</t>
  </si>
  <si>
    <t>lP793zZ</t>
  </si>
  <si>
    <t>Daxomab78</t>
  </si>
  <si>
    <t>sg768qb</t>
  </si>
  <si>
    <t>Daxoxetine82</t>
  </si>
  <si>
    <t>zn181AN</t>
  </si>
  <si>
    <t>Daxocillin14</t>
  </si>
  <si>
    <t>lQ923Ky</t>
  </si>
  <si>
    <t>Zylocillin63</t>
  </si>
  <si>
    <t>sn129NR</t>
  </si>
  <si>
    <t>Virastatin84</t>
  </si>
  <si>
    <t>Le307Xy</t>
  </si>
  <si>
    <t>ha940XS</t>
  </si>
  <si>
    <t>Mecovir40</t>
  </si>
  <si>
    <t>JJ698ia</t>
  </si>
  <si>
    <t>Rivadipine19</t>
  </si>
  <si>
    <t>Rash, Dry mouth, Dizziness</t>
  </si>
  <si>
    <t>zM662lU</t>
  </si>
  <si>
    <t>Amoxzepam22</t>
  </si>
  <si>
    <t>tM117cc</t>
  </si>
  <si>
    <t>Nausea, Dry mouth, Insomnia</t>
  </si>
  <si>
    <t>yH010kM</t>
  </si>
  <si>
    <t>Daxovir88</t>
  </si>
  <si>
    <t>Dr479UF</t>
  </si>
  <si>
    <t>Fenocillin72</t>
  </si>
  <si>
    <t>yM455Ch</t>
  </si>
  <si>
    <t>Rivacillin98</t>
  </si>
  <si>
    <t>Af496si</t>
  </si>
  <si>
    <t>Cefmab34</t>
  </si>
  <si>
    <t>Headache, Diarrhea, Fatigue</t>
  </si>
  <si>
    <t>Jh244jf</t>
  </si>
  <si>
    <t>Cefprofen90</t>
  </si>
  <si>
    <t>ZG411En</t>
  </si>
  <si>
    <t>Loxoparin17</t>
  </si>
  <si>
    <t>ew682Bk</t>
  </si>
  <si>
    <t>WW621gK</t>
  </si>
  <si>
    <t>Amoxvir24</t>
  </si>
  <si>
    <t>AM438cg</t>
  </si>
  <si>
    <t>xJ067Qb</t>
  </si>
  <si>
    <t>Serozole56</t>
  </si>
  <si>
    <t>iP390Cl</t>
  </si>
  <si>
    <t>Fenozole20</t>
  </si>
  <si>
    <t>Dry mouth, Insomnia, Constipation</t>
  </si>
  <si>
    <t>ps958oj</t>
  </si>
  <si>
    <t>Viravir42</t>
  </si>
  <si>
    <t>wN998gd</t>
  </si>
  <si>
    <t>Daxoprofen83</t>
  </si>
  <si>
    <t>hh727fX</t>
  </si>
  <si>
    <t>Fenozole65</t>
  </si>
  <si>
    <t>Cc823wS</t>
  </si>
  <si>
    <t>Amoxzepam47</t>
  </si>
  <si>
    <t>dW083fL</t>
  </si>
  <si>
    <t>Rivaprofen69</t>
  </si>
  <si>
    <t>If526IG</t>
  </si>
  <si>
    <t>Rivaparin39</t>
  </si>
  <si>
    <t>DW747dl</t>
  </si>
  <si>
    <t>Daxozole15</t>
  </si>
  <si>
    <t>Ds891SU</t>
  </si>
  <si>
    <t>Virazole38</t>
  </si>
  <si>
    <t>jz375MU</t>
  </si>
  <si>
    <t>Fenoprofen42</t>
  </si>
  <si>
    <t>Fatigue, Rash, Headache</t>
  </si>
  <si>
    <t>KM888jO</t>
  </si>
  <si>
    <t>hu780ak</t>
  </si>
  <si>
    <t>Serostatin70</t>
  </si>
  <si>
    <t>ZQ832EM</t>
  </si>
  <si>
    <t>br507fd</t>
  </si>
  <si>
    <t>Daxomab63</t>
  </si>
  <si>
    <t>zF461mB</t>
  </si>
  <si>
    <t>Serovir92</t>
  </si>
  <si>
    <t>Sq641YP</t>
  </si>
  <si>
    <t>KF325QE</t>
  </si>
  <si>
    <t>Daxocillin84</t>
  </si>
  <si>
    <t>sW914TV</t>
  </si>
  <si>
    <t>Cefprofen74</t>
  </si>
  <si>
    <t>NW181tl</t>
  </si>
  <si>
    <t>Virazole97</t>
  </si>
  <si>
    <t>Dizziness, Nausea, Rash</t>
  </si>
  <si>
    <t>BR732RT</t>
  </si>
  <si>
    <t>Serodipine28</t>
  </si>
  <si>
    <t>ge382Tr</t>
  </si>
  <si>
    <t>Loxomab52</t>
  </si>
  <si>
    <t>dO535nT</t>
  </si>
  <si>
    <t>Amoxvir73</t>
  </si>
  <si>
    <t>Constipation, Headache, Dizziness</t>
  </si>
  <si>
    <t>SO381Iu</t>
  </si>
  <si>
    <t>Amoxzepam75</t>
  </si>
  <si>
    <t>DA789YC</t>
  </si>
  <si>
    <t>Loxocillin12</t>
  </si>
  <si>
    <t>pb357SU</t>
  </si>
  <si>
    <t>Rivacillin44</t>
  </si>
  <si>
    <t>Pz575JJ</t>
  </si>
  <si>
    <t>Fenoprofen41</t>
  </si>
  <si>
    <t>mh884EM</t>
  </si>
  <si>
    <t>Loxodipine66</t>
  </si>
  <si>
    <t>jb180VH</t>
  </si>
  <si>
    <t>Jd124PA</t>
  </si>
  <si>
    <t>Virazole83</t>
  </si>
  <si>
    <t>Zu425Rx</t>
  </si>
  <si>
    <t>Virazepam74</t>
  </si>
  <si>
    <t>Dry mouth, Nausea, Insomnia</t>
  </si>
  <si>
    <t>Ek588be</t>
  </si>
  <si>
    <t>Loxoxetine35</t>
  </si>
  <si>
    <t>tL106Ta</t>
  </si>
  <si>
    <t>Seroprofen86</t>
  </si>
  <si>
    <t>yI494Mr</t>
  </si>
  <si>
    <t>Viraxetine61</t>
  </si>
  <si>
    <t>EN290cG</t>
  </si>
  <si>
    <t>Cefstatin50</t>
  </si>
  <si>
    <t>Constipation, Nausea, Rash</t>
  </si>
  <si>
    <t>Lc545Jp</t>
  </si>
  <si>
    <t>Rivavir39</t>
  </si>
  <si>
    <t>mg034NG</t>
  </si>
  <si>
    <t>Amoxxetine18</t>
  </si>
  <si>
    <t>tB426bS</t>
  </si>
  <si>
    <t>LZ493ZE</t>
  </si>
  <si>
    <t>ZQ569QU</t>
  </si>
  <si>
    <t>Cefprofen62</t>
  </si>
  <si>
    <t>kf776Ff</t>
  </si>
  <si>
    <t>Daxozole56</t>
  </si>
  <si>
    <t>ZZ735dV</t>
  </si>
  <si>
    <t>Serodipine83</t>
  </si>
  <si>
    <t>tF426kx</t>
  </si>
  <si>
    <t>Seroparin21</t>
  </si>
  <si>
    <t>Oa045tm</t>
  </si>
  <si>
    <t>Fenoxetine29</t>
  </si>
  <si>
    <t>Blurred vision, Fatigue, Headache</t>
  </si>
  <si>
    <t>xl217Xm</t>
  </si>
  <si>
    <t>Rivavir50</t>
  </si>
  <si>
    <t>Blurred vision, Diarrhea, Dizziness</t>
  </si>
  <si>
    <t>HA578nh</t>
  </si>
  <si>
    <t>Zylozepam22</t>
  </si>
  <si>
    <t>kd768Dz</t>
  </si>
  <si>
    <t>Mecostatin10</t>
  </si>
  <si>
    <t>qf928rk</t>
  </si>
  <si>
    <t>ff676uI</t>
  </si>
  <si>
    <t>Viraprofen40</t>
  </si>
  <si>
    <t>xo439bI</t>
  </si>
  <si>
    <t>Fenoparin31</t>
  </si>
  <si>
    <t>zk809Ls</t>
  </si>
  <si>
    <t>Serozepam27</t>
  </si>
  <si>
    <t>dZ209tx</t>
  </si>
  <si>
    <t>Seroprofen42</t>
  </si>
  <si>
    <t>NK027mV</t>
  </si>
  <si>
    <t>Fenoparin44</t>
  </si>
  <si>
    <t>IW093Tt</t>
  </si>
  <si>
    <t>iI555ZY</t>
  </si>
  <si>
    <t>Zylodipine68</t>
  </si>
  <si>
    <t>Diarrhea, Fatigue, Blurred vision</t>
  </si>
  <si>
    <t>fn961Qu</t>
  </si>
  <si>
    <t>Cefzepam61</t>
  </si>
  <si>
    <t>FB213tW</t>
  </si>
  <si>
    <t>Serozole37</t>
  </si>
  <si>
    <t>sO734rI</t>
  </si>
  <si>
    <t>Amoxcillin91</t>
  </si>
  <si>
    <t>eH644Oe</t>
  </si>
  <si>
    <t>Viradipine53</t>
  </si>
  <si>
    <t>yt441RK</t>
  </si>
  <si>
    <t>Serodipine17</t>
  </si>
  <si>
    <t>oP072AA</t>
  </si>
  <si>
    <t>Virazole87</t>
  </si>
  <si>
    <t>TL707Ph</t>
  </si>
  <si>
    <t>Daxoprofen96</t>
  </si>
  <si>
    <t>wd917Om</t>
  </si>
  <si>
    <t>Mecomab15</t>
  </si>
  <si>
    <t>ow267wD</t>
  </si>
  <si>
    <t>Viradipine36</t>
  </si>
  <si>
    <t>Constipation, Dry mouth, Blurred vision</t>
  </si>
  <si>
    <t>PY285jC</t>
  </si>
  <si>
    <t>Diarrhea, Insomnia, Constipation</t>
  </si>
  <si>
    <t>ux474WU</t>
  </si>
  <si>
    <t>Mecomab61</t>
  </si>
  <si>
    <t>Fatigue, Headache, Constipation</t>
  </si>
  <si>
    <t>ao610PT</t>
  </si>
  <si>
    <t>Fenocillin92</t>
  </si>
  <si>
    <t>zC841Bk</t>
  </si>
  <si>
    <t>Daxostatin87</t>
  </si>
  <si>
    <t>Gt871bK</t>
  </si>
  <si>
    <t>Amoxmab62</t>
  </si>
  <si>
    <t>gF284mO</t>
  </si>
  <si>
    <t>Daxoxetine37</t>
  </si>
  <si>
    <t>WD778gO</t>
  </si>
  <si>
    <t>Viradipine72</t>
  </si>
  <si>
    <t>rN246sV</t>
  </si>
  <si>
    <t>Mecostatin66</t>
  </si>
  <si>
    <t>Dry mouth, Insomnia, Headache</t>
  </si>
  <si>
    <t>DH745rN</t>
  </si>
  <si>
    <t>Mecoparin77</t>
  </si>
  <si>
    <t>VF488CU</t>
  </si>
  <si>
    <t>qH265ij</t>
  </si>
  <si>
    <t>Cefmab61</t>
  </si>
  <si>
    <t>fo677Rp</t>
  </si>
  <si>
    <t>Daxodipine69</t>
  </si>
  <si>
    <t>uC138HY</t>
  </si>
  <si>
    <t>Loxoparin65</t>
  </si>
  <si>
    <t>Zw909yU</t>
  </si>
  <si>
    <t>Serozole50</t>
  </si>
  <si>
    <t>Wz882VD</t>
  </si>
  <si>
    <t>Viradipine63</t>
  </si>
  <si>
    <t>Hd610QY</t>
  </si>
  <si>
    <t>Amoxxetine55</t>
  </si>
  <si>
    <t>GG630If</t>
  </si>
  <si>
    <t>Amoxzole35</t>
  </si>
  <si>
    <t>Constipation, Insomnia, Dry mouth</t>
  </si>
  <si>
    <t>Cj298Gr</t>
  </si>
  <si>
    <t>Amoxvir66</t>
  </si>
  <si>
    <t>Sf233Dq</t>
  </si>
  <si>
    <t>Seroprofen81</t>
  </si>
  <si>
    <t>Insomnia, Dizziness, Headache</t>
  </si>
  <si>
    <t>WW423NX</t>
  </si>
  <si>
    <t>Loxostatin36</t>
  </si>
  <si>
    <t>KN957Sy</t>
  </si>
  <si>
    <t>Serozepam64</t>
  </si>
  <si>
    <t>oD862yn</t>
  </si>
  <si>
    <t>Blurred vision, Headache, Constipation</t>
  </si>
  <si>
    <t>LF863Tv</t>
  </si>
  <si>
    <t>Daxozepam23</t>
  </si>
  <si>
    <t>Ir686hE</t>
  </si>
  <si>
    <t>Vh857ca</t>
  </si>
  <si>
    <t>Daxomab19</t>
  </si>
  <si>
    <t>Dry mouth, Nausea, Rash</t>
  </si>
  <si>
    <t>pg131Ep</t>
  </si>
  <si>
    <t>Zyloparin59</t>
  </si>
  <si>
    <t>vO991Qj</t>
  </si>
  <si>
    <t>Daxodipine45</t>
  </si>
  <si>
    <t>WU019EK</t>
  </si>
  <si>
    <t>Serostatin44</t>
  </si>
  <si>
    <t>Blurred vision, Dizziness, Insomnia</t>
  </si>
  <si>
    <t>oH040UC</t>
  </si>
  <si>
    <t>Serozole45</t>
  </si>
  <si>
    <t>Rash, Fatigue, Nausea</t>
  </si>
  <si>
    <t>DW738Al</t>
  </si>
  <si>
    <t>Loxovir10</t>
  </si>
  <si>
    <t>et957yq</t>
  </si>
  <si>
    <t>Cefstatin52</t>
  </si>
  <si>
    <t>uK971GL</t>
  </si>
  <si>
    <t>Amoxxetine35</t>
  </si>
  <si>
    <t>AT980sC</t>
  </si>
  <si>
    <t>YU383MQ</t>
  </si>
  <si>
    <t>Amoxxetine82</t>
  </si>
  <si>
    <t>Headache, Blurred vision, Diarrhea</t>
  </si>
  <si>
    <t>xD036Lf</t>
  </si>
  <si>
    <t>Zyloprofen34</t>
  </si>
  <si>
    <t>Mw570NU</t>
  </si>
  <si>
    <t>Daxoxetine89</t>
  </si>
  <si>
    <t>Nausea, Dry mouth, Fatigue</t>
  </si>
  <si>
    <t>QY766hh</t>
  </si>
  <si>
    <t>Zylodipine63</t>
  </si>
  <si>
    <t>lP933Uz</t>
  </si>
  <si>
    <t>Amoxstatin74</t>
  </si>
  <si>
    <t>rN817KA</t>
  </si>
  <si>
    <t>Loxoparin30</t>
  </si>
  <si>
    <t>Rash, Dizziness, Insomnia</t>
  </si>
  <si>
    <t>AB730bH</t>
  </si>
  <si>
    <t>Zylovir57</t>
  </si>
  <si>
    <t>BA255rr</t>
  </si>
  <si>
    <t>Fenoxetine40</t>
  </si>
  <si>
    <t>nD820qa</t>
  </si>
  <si>
    <t>Fenovir72</t>
  </si>
  <si>
    <t>Az988pI</t>
  </si>
  <si>
    <t>Cefxetine56</t>
  </si>
  <si>
    <t>lJ028Yz</t>
  </si>
  <si>
    <t>Mecovir53</t>
  </si>
  <si>
    <t>Blurred vision, Fatigue, Constipation</t>
  </si>
  <si>
    <t>Pw467pe</t>
  </si>
  <si>
    <t>Loxomab41</t>
  </si>
  <si>
    <t>Is419EY</t>
  </si>
  <si>
    <t>Fenomab14</t>
  </si>
  <si>
    <t>jB486pj</t>
  </si>
  <si>
    <t>Fenozepam19</t>
  </si>
  <si>
    <t>ek992jR</t>
  </si>
  <si>
    <t>Zylodipine95</t>
  </si>
  <si>
    <t>Ko977Ef</t>
  </si>
  <si>
    <t>Amoxstatin49</t>
  </si>
  <si>
    <t>aP252EZ</t>
  </si>
  <si>
    <t>Zyloprofen54</t>
  </si>
  <si>
    <t>Qd583tD</t>
  </si>
  <si>
    <t>Cefxetine98</t>
  </si>
  <si>
    <t>Fatigue, Headache, Rash</t>
  </si>
  <si>
    <t>zH941NW</t>
  </si>
  <si>
    <t>Fenoxetine11</t>
  </si>
  <si>
    <t>ic603oB</t>
  </si>
  <si>
    <t>Daxovir80</t>
  </si>
  <si>
    <t>Ki477FB</t>
  </si>
  <si>
    <t>Daxostatin41</t>
  </si>
  <si>
    <t>Hi161Mr</t>
  </si>
  <si>
    <t>Daxozepam97</t>
  </si>
  <si>
    <t>Insomnia, Nausea, Rash</t>
  </si>
  <si>
    <t>dV416Pz</t>
  </si>
  <si>
    <t>Daxoparin13</t>
  </si>
  <si>
    <t>Rash, Nausea, Diarrhea</t>
  </si>
  <si>
    <t>zZ132cx</t>
  </si>
  <si>
    <t>Cefparin24</t>
  </si>
  <si>
    <t>kO529nn</t>
  </si>
  <si>
    <t>Rivazole65</t>
  </si>
  <si>
    <t>Yk528xL</t>
  </si>
  <si>
    <t>Loxozepam66</t>
  </si>
  <si>
    <t>ZP863JM</t>
  </si>
  <si>
    <t>Rivazepam22</t>
  </si>
  <si>
    <t>qk871jV</t>
  </si>
  <si>
    <t>kU621Jq</t>
  </si>
  <si>
    <t>Loxoparin10</t>
  </si>
  <si>
    <t>xy356ze</t>
  </si>
  <si>
    <t>Mecodipine70</t>
  </si>
  <si>
    <t>TB135wT</t>
  </si>
  <si>
    <t>Serocillin73</t>
  </si>
  <si>
    <t>Insomnia, Constipation, Headache</t>
  </si>
  <si>
    <t>ur295zy</t>
  </si>
  <si>
    <t>GP001YO</t>
  </si>
  <si>
    <t>Ij268IU</t>
  </si>
  <si>
    <t>Serostatin52</t>
  </si>
  <si>
    <t>yw246If</t>
  </si>
  <si>
    <t>Rivamab29</t>
  </si>
  <si>
    <t>Nausea, Rash, Insomnia</t>
  </si>
  <si>
    <t>lF231yc</t>
  </si>
  <si>
    <t>Rivaprofen19</t>
  </si>
  <si>
    <t>Hf360Di</t>
  </si>
  <si>
    <t>Daxomab26</t>
  </si>
  <si>
    <t>Wk348Vp</t>
  </si>
  <si>
    <t>Cefxetine44</t>
  </si>
  <si>
    <t>QU192dF</t>
  </si>
  <si>
    <t>Viraprofen28</t>
  </si>
  <si>
    <t>Dizziness, Rash, Headache</t>
  </si>
  <si>
    <t>mV096Hq</t>
  </si>
  <si>
    <t>Mecozole53</t>
  </si>
  <si>
    <t>Constipation, Blurred vision, Rash</t>
  </si>
  <si>
    <t>ov555Ad</t>
  </si>
  <si>
    <t>Fenoxetine38</t>
  </si>
  <si>
    <t>RW597GB</t>
  </si>
  <si>
    <t>Daxovir85</t>
  </si>
  <si>
    <t>Headache, Insomnia, Fatigue</t>
  </si>
  <si>
    <t>IK322YA</t>
  </si>
  <si>
    <t>Cefxetine26</t>
  </si>
  <si>
    <t>Bg745RA</t>
  </si>
  <si>
    <t>QY556ry</t>
  </si>
  <si>
    <t>Mecozole44</t>
  </si>
  <si>
    <t>gi845GY</t>
  </si>
  <si>
    <t>Daxoprofen37</t>
  </si>
  <si>
    <t>lF617cv</t>
  </si>
  <si>
    <t>Serovir68</t>
  </si>
  <si>
    <t>Xu639Gq</t>
  </si>
  <si>
    <t>Zylozole19</t>
  </si>
  <si>
    <t>bM833TQ</t>
  </si>
  <si>
    <t>Fenomab78</t>
  </si>
  <si>
    <t>aO233pu</t>
  </si>
  <si>
    <t>Serozole94</t>
  </si>
  <si>
    <t>ov469Sa</t>
  </si>
  <si>
    <t>Virastatin43</t>
  </si>
  <si>
    <t>ln900fE</t>
  </si>
  <si>
    <t>Mecozepam36</t>
  </si>
  <si>
    <t>BH103If</t>
  </si>
  <si>
    <t>zW073EU</t>
  </si>
  <si>
    <t>Viraxetine59</t>
  </si>
  <si>
    <t>Blurred vision, Constipation, Headache</t>
  </si>
  <si>
    <t>YG921LK</t>
  </si>
  <si>
    <t>Daxomab14</t>
  </si>
  <si>
    <t>uD751js</t>
  </si>
  <si>
    <t>Loxoprofen78</t>
  </si>
  <si>
    <t>nw135lu</t>
  </si>
  <si>
    <t>Serovir62</t>
  </si>
  <si>
    <t>vX000OX</t>
  </si>
  <si>
    <t>Serovir95</t>
  </si>
  <si>
    <t>Fatigue, Constipation, Nausea</t>
  </si>
  <si>
    <t>pL989lj</t>
  </si>
  <si>
    <t>Viradipine45</t>
  </si>
  <si>
    <t>EP884DV</t>
  </si>
  <si>
    <t>Serodipine38</t>
  </si>
  <si>
    <t>Sy025Tr</t>
  </si>
  <si>
    <t>Cefxetine24</t>
  </si>
  <si>
    <t>GG978HV</t>
  </si>
  <si>
    <t>Nausea, Insomnia, Headache</t>
  </si>
  <si>
    <t>pF305Rv</t>
  </si>
  <si>
    <t>Amoxcillin12</t>
  </si>
  <si>
    <t>wW119mC</t>
  </si>
  <si>
    <t>Daxovir35</t>
  </si>
  <si>
    <t>ia005qN</t>
  </si>
  <si>
    <t>Amoxparin65</t>
  </si>
  <si>
    <t>mJ233vO</t>
  </si>
  <si>
    <t>Mecomab54</t>
  </si>
  <si>
    <t>Nf291AN</t>
  </si>
  <si>
    <t>Rivaprofen17</t>
  </si>
  <si>
    <t>EY798JC</t>
  </si>
  <si>
    <t>Cefdipine61</t>
  </si>
  <si>
    <t>wS831yq</t>
  </si>
  <si>
    <t>yy124ZH</t>
  </si>
  <si>
    <t>Amoxcillin75</t>
  </si>
  <si>
    <t>UN550TT</t>
  </si>
  <si>
    <t>Cefmab88</t>
  </si>
  <si>
    <t>Te802yX</t>
  </si>
  <si>
    <t>Loxomab84</t>
  </si>
  <si>
    <t>WO753FK</t>
  </si>
  <si>
    <t>Serostatin22</t>
  </si>
  <si>
    <t>te398aJ</t>
  </si>
  <si>
    <t>Cefvir13</t>
  </si>
  <si>
    <t>JT957FE</t>
  </si>
  <si>
    <t>Amoxzepam67</t>
  </si>
  <si>
    <t>yY122Bo</t>
  </si>
  <si>
    <t>Serovir23</t>
  </si>
  <si>
    <t>EI080CB</t>
  </si>
  <si>
    <t>Cefprofen23</t>
  </si>
  <si>
    <t>QK641YE</t>
  </si>
  <si>
    <t>Blurred vision, Diarrhea, Rash</t>
  </si>
  <si>
    <t>zA998EF</t>
  </si>
  <si>
    <t>Mecostatin50</t>
  </si>
  <si>
    <t>vM772mm</t>
  </si>
  <si>
    <t>Serostatin23</t>
  </si>
  <si>
    <t>Blurred vision, Diarrhea, Constipation</t>
  </si>
  <si>
    <t>PI835ml</t>
  </si>
  <si>
    <t>Daxovir95</t>
  </si>
  <si>
    <t>bf284kJ</t>
  </si>
  <si>
    <t>nJ564uk</t>
  </si>
  <si>
    <t>Zyloprofen28</t>
  </si>
  <si>
    <t>AV883is</t>
  </si>
  <si>
    <t>Zylostatin67</t>
  </si>
  <si>
    <t>BU934ws</t>
  </si>
  <si>
    <t>Mecozole92</t>
  </si>
  <si>
    <t>Kv961uR</t>
  </si>
  <si>
    <t>Nausea, Fatigue, Headache</t>
  </si>
  <si>
    <t>Uc964RO</t>
  </si>
  <si>
    <t>Zylovir17</t>
  </si>
  <si>
    <t>Fq361YH</t>
  </si>
  <si>
    <t>Mecoprofen32</t>
  </si>
  <si>
    <t>qM405ML</t>
  </si>
  <si>
    <t>Fenoprofen58</t>
  </si>
  <si>
    <t>Ao408CX</t>
  </si>
  <si>
    <t>aprobados</t>
  </si>
  <si>
    <t>desaprobados</t>
  </si>
  <si>
    <t>pendientes</t>
  </si>
  <si>
    <t>tasa de aprobación</t>
  </si>
  <si>
    <t>total de medicamentos</t>
  </si>
  <si>
    <t>tipos de farmacos</t>
  </si>
  <si>
    <t>fabricantes</t>
  </si>
  <si>
    <t xml:space="preserve">precio promedio </t>
  </si>
  <si>
    <t>Gravedad</t>
  </si>
  <si>
    <t>Rechazado</t>
  </si>
  <si>
    <t>Total</t>
  </si>
  <si>
    <t>Tasa de rechazo %</t>
  </si>
  <si>
    <t>Tasa de rechazo</t>
  </si>
  <si>
    <t>Clase de Medicamento</t>
  </si>
  <si>
    <t>Tasa de Rechazo (%)</t>
  </si>
  <si>
    <t>Precio Promedio (USD)</t>
  </si>
  <si>
    <t>Clasificación de Precio</t>
  </si>
  <si>
    <t>248.67</t>
  </si>
  <si>
    <t>Media</t>
  </si>
  <si>
    <t>266.72</t>
  </si>
  <si>
    <t>Alta</t>
  </si>
  <si>
    <t>245.35</t>
  </si>
  <si>
    <t>242.61</t>
  </si>
  <si>
    <t>271.63</t>
  </si>
  <si>
    <t>Máximo</t>
  </si>
  <si>
    <t>248.98</t>
  </si>
  <si>
    <t>240.28</t>
  </si>
  <si>
    <t>Mínimo</t>
  </si>
  <si>
    <t>249.36</t>
  </si>
  <si>
    <t>264.36</t>
  </si>
  <si>
    <t>241.71</t>
  </si>
  <si>
    <t>Mínima</t>
  </si>
  <si>
    <t>44% (Máximo)</t>
  </si>
  <si>
    <t>37% (Alto)</t>
  </si>
  <si>
    <t>27% (Mínimo)</t>
  </si>
  <si>
    <t>Análisis Farmacéutico: Rendimiento, costo y riesgo regulatorio</t>
  </si>
  <si>
    <t>Resumen: El análisis de los datos revela importantes disparidades en el rendimiento corporativo y el riesgo regulatorio. En términos de eficiencia, Moderna Therapeutics y Johnson &amp; Johnson muestran las tasas de aprobación de productos más altas, señalando una gestión exitosa de su pipeline.
En el ámbito económico, los Antipiréticos y Antidepresivos registran el precio promedio más elevado. Sin embargo, el riesgo regulatorio más crítico reside en los Antihistamínicos (con la tasa de rechazo más alta del 44%) y en los medicamentos con efectos secundarios clasificados como Moderados. Este último punto sugiere que los organismos reguladores aplican un escrutinio más estricto a los medicamentos de beneficio no vital que presentan riesgos de seguridad intermedios."</t>
  </si>
  <si>
    <t>Eficiencia y Rendimiento en Aprobación por Fabricante</t>
  </si>
  <si>
    <t>Este análisis nos permite observar la eficiencia de cada compañía, calculando la tasa de aprobación. Los datos revelan que Moderna Therapeutics y Johnson &amp; Johnson son los líderes en esta métrica, con la mayor proporción de éxito regulatorio.</t>
  </si>
  <si>
    <t xml:space="preserve">Análisis de Precios Promedio por clase </t>
  </si>
  <si>
    <t>El cálculo de los precios promedio revela que Las clases de medicamentos más costosas en el promedio son los Antipiréticos y los Antidepresivos. A pesar de las variaciones, la diferencia de precio entre la clase más cara y la más barata (Vacunas) es relativamente estrecha</t>
  </si>
  <si>
    <t>Impacto de la Gravedad del Efecto Secundario en la Aprobación</t>
  </si>
  <si>
    <t>Este análisis nos permite observar que a mayor riesgo (Severe) la tasa de rechazo aumenta.  Lo que nos permite alinearnos con las expectativas regulatorias: los organismos son más estrictos con los medicamentos que presentan los mayores riesgos de seguridad.</t>
  </si>
  <si>
    <t>Tasa de rechazo  de farmacos</t>
  </si>
  <si>
    <t xml:space="preserve">este grafico y datos nos permite observar que las vacunas pasan a ser la categoria con mayor tasa de aprobación al tener un rechazo del solo 27%. Por otro lado estan los analgésicos que son la clase con la menor tasa de éxito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</si>
</sst>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1B1C1D"/>
      <name val="Arial"/>
      <family val="2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29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44" fontId="0" fillId="0" borderId="0" xfId="2" applyFont="1"/>
    <xf numFmtId="9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3" fillId="0" borderId="2" xfId="0" applyFont="1" applyBorder="1" applyAlignment="1">
      <alignment horizontal="left" vertical="center" wrapText="1" indent="1" readingOrder="1"/>
    </xf>
    <xf numFmtId="9" fontId="3" fillId="0" borderId="2" xfId="0" applyNumberFormat="1" applyFont="1" applyBorder="1" applyAlignment="1">
      <alignment horizontal="left" vertical="center" wrapText="1" indent="1" readingOrder="1"/>
    </xf>
    <xf numFmtId="0" fontId="2" fillId="3" borderId="1" xfId="3" applyFill="1" applyAlignment="1"/>
    <xf numFmtId="0" fontId="0" fillId="3" borderId="0" xfId="0" applyFill="1"/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3" fillId="0" borderId="10" xfId="0" applyFont="1" applyBorder="1" applyAlignment="1">
      <alignment horizontal="left" vertical="center" wrapText="1" indent="1" readingOrder="1"/>
    </xf>
    <xf numFmtId="0" fontId="4" fillId="3" borderId="11" xfId="3" applyFont="1" applyFill="1" applyBorder="1" applyAlignment="1">
      <alignment horizontal="center"/>
    </xf>
    <xf numFmtId="0" fontId="4" fillId="3" borderId="12" xfId="3" applyFont="1" applyFill="1" applyBorder="1" applyAlignment="1">
      <alignment horizontal="center"/>
    </xf>
    <xf numFmtId="0" fontId="4" fillId="3" borderId="13" xfId="3" applyFont="1" applyFill="1" applyBorder="1" applyAlignment="1">
      <alignment horizontal="center"/>
    </xf>
    <xf numFmtId="0" fontId="5" fillId="3" borderId="14" xfId="3" applyFont="1" applyFill="1" applyBorder="1" applyAlignment="1">
      <alignment horizontal="center" wrapText="1"/>
    </xf>
    <xf numFmtId="0" fontId="5" fillId="3" borderId="14" xfId="3" applyFont="1" applyFill="1" applyBorder="1" applyAlignment="1">
      <alignment horizontal="center"/>
    </xf>
    <xf numFmtId="0" fontId="5" fillId="3" borderId="0" xfId="3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4">
    <cellStyle name="Entrada" xfId="3" builtinId="20"/>
    <cellStyle name="Moneda" xfId="2" builtinId="4"/>
    <cellStyle name="Normal" xfId="0" builtinId="0"/>
    <cellStyle name="Porcentaje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Riesgo Regulatorio (Tasa de Rechazo) por Clase de Medicamento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Aprobación!$C$2</c:f>
              <c:strCache>
                <c:ptCount val="1"/>
                <c:pt idx="0">
                  <c:v>Rechazado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Aprobación!$A$3:$A$12</c:f>
              <c:strCache>
                <c:ptCount val="10"/>
                <c:pt idx="0">
                  <c:v>Antipsychotic</c:v>
                </c:pt>
                <c:pt idx="1">
                  <c:v>Anti-inflammatory</c:v>
                </c:pt>
                <c:pt idx="2">
                  <c:v>Analgesic</c:v>
                </c:pt>
                <c:pt idx="3">
                  <c:v>Vaccine</c:v>
                </c:pt>
                <c:pt idx="4">
                  <c:v>Antiviral</c:v>
                </c:pt>
                <c:pt idx="5">
                  <c:v>Antihistamine</c:v>
                </c:pt>
                <c:pt idx="6">
                  <c:v>Antidepressant</c:v>
                </c:pt>
                <c:pt idx="7">
                  <c:v>Antipyretic</c:v>
                </c:pt>
                <c:pt idx="8">
                  <c:v>Antibiotic</c:v>
                </c:pt>
                <c:pt idx="9">
                  <c:v>Antifungal</c:v>
                </c:pt>
              </c:strCache>
            </c:strRef>
          </c:cat>
          <c:val>
            <c:numRef>
              <c:f>Aprobación!$C$3:$C$12</c:f>
              <c:numCache>
                <c:formatCode>General</c:formatCode>
                <c:ptCount val="10"/>
                <c:pt idx="0">
                  <c:v>39</c:v>
                </c:pt>
                <c:pt idx="1">
                  <c:v>42</c:v>
                </c:pt>
                <c:pt idx="2">
                  <c:v>63</c:v>
                </c:pt>
                <c:pt idx="3">
                  <c:v>43</c:v>
                </c:pt>
                <c:pt idx="4">
                  <c:v>43</c:v>
                </c:pt>
                <c:pt idx="5">
                  <c:v>53</c:v>
                </c:pt>
                <c:pt idx="6">
                  <c:v>48</c:v>
                </c:pt>
                <c:pt idx="7">
                  <c:v>46</c:v>
                </c:pt>
                <c:pt idx="8">
                  <c:v>57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1-4678-B770-B846E0FE9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549199"/>
        <c:axId val="4885525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Aprobación!$B$2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Aprobación!$A$3:$A$12</c15:sqref>
                        </c15:formulaRef>
                      </c:ext>
                    </c:extLst>
                    <c:strCache>
                      <c:ptCount val="10"/>
                      <c:pt idx="0">
                        <c:v>Antipsychotic</c:v>
                      </c:pt>
                      <c:pt idx="1">
                        <c:v>Anti-inflammatory</c:v>
                      </c:pt>
                      <c:pt idx="2">
                        <c:v>Analgesic</c:v>
                      </c:pt>
                      <c:pt idx="3">
                        <c:v>Vaccine</c:v>
                      </c:pt>
                      <c:pt idx="4">
                        <c:v>Antiviral</c:v>
                      </c:pt>
                      <c:pt idx="5">
                        <c:v>Antihistamine</c:v>
                      </c:pt>
                      <c:pt idx="6">
                        <c:v>Antidepressant</c:v>
                      </c:pt>
                      <c:pt idx="7">
                        <c:v>Antipyretic</c:v>
                      </c:pt>
                      <c:pt idx="8">
                        <c:v>Antibiotic</c:v>
                      </c:pt>
                      <c:pt idx="9">
                        <c:v>Antifungal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Aprobación!$B$3:$B$12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126</c:v>
                      </c:pt>
                      <c:pt idx="1">
                        <c:v>141</c:v>
                      </c:pt>
                      <c:pt idx="2">
                        <c:v>143</c:v>
                      </c:pt>
                      <c:pt idx="3">
                        <c:v>158</c:v>
                      </c:pt>
                      <c:pt idx="4">
                        <c:v>134</c:v>
                      </c:pt>
                      <c:pt idx="5">
                        <c:v>143</c:v>
                      </c:pt>
                      <c:pt idx="6">
                        <c:v>147</c:v>
                      </c:pt>
                      <c:pt idx="7">
                        <c:v>144</c:v>
                      </c:pt>
                      <c:pt idx="8">
                        <c:v>156</c:v>
                      </c:pt>
                      <c:pt idx="9">
                        <c:v>144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F91-4678-B770-B846E0FE938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Aprobación!$D$2</c:f>
              <c:strCache>
                <c:ptCount val="1"/>
                <c:pt idx="0">
                  <c:v>Tasa de rechazo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Aprobación!$A$3:$A$12</c:f>
              <c:strCache>
                <c:ptCount val="10"/>
                <c:pt idx="0">
                  <c:v>Antipsychotic</c:v>
                </c:pt>
                <c:pt idx="1">
                  <c:v>Anti-inflammatory</c:v>
                </c:pt>
                <c:pt idx="2">
                  <c:v>Analgesic</c:v>
                </c:pt>
                <c:pt idx="3">
                  <c:v>Vaccine</c:v>
                </c:pt>
                <c:pt idx="4">
                  <c:v>Antiviral</c:v>
                </c:pt>
                <c:pt idx="5">
                  <c:v>Antihistamine</c:v>
                </c:pt>
                <c:pt idx="6">
                  <c:v>Antidepressant</c:v>
                </c:pt>
                <c:pt idx="7">
                  <c:v>Antipyretic</c:v>
                </c:pt>
                <c:pt idx="8">
                  <c:v>Antibiotic</c:v>
                </c:pt>
                <c:pt idx="9">
                  <c:v>Antifungal</c:v>
                </c:pt>
              </c:strCache>
            </c:strRef>
          </c:cat>
          <c:val>
            <c:numRef>
              <c:f>Aprobación!$D$3:$D$12</c:f>
              <c:numCache>
                <c:formatCode>0%</c:formatCode>
                <c:ptCount val="10"/>
                <c:pt idx="0">
                  <c:v>0.30952380952380953</c:v>
                </c:pt>
                <c:pt idx="1">
                  <c:v>0.2978723404255319</c:v>
                </c:pt>
                <c:pt idx="2">
                  <c:v>0.44055944055944057</c:v>
                </c:pt>
                <c:pt idx="3">
                  <c:v>0.27215189873417722</c:v>
                </c:pt>
                <c:pt idx="4">
                  <c:v>0.32089552238805968</c:v>
                </c:pt>
                <c:pt idx="5">
                  <c:v>0.37062937062937062</c:v>
                </c:pt>
                <c:pt idx="6">
                  <c:v>0.32653061224489793</c:v>
                </c:pt>
                <c:pt idx="7">
                  <c:v>0.31944444444444442</c:v>
                </c:pt>
                <c:pt idx="8">
                  <c:v>0.36538461538461536</c:v>
                </c:pt>
                <c:pt idx="9">
                  <c:v>0.30555555555555558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1-4678-B770-B846E0FE9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750351"/>
        <c:axId val="1722754927"/>
      </c:lineChart>
      <c:catAx>
        <c:axId val="48854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52527"/>
        <c:crosses val="autoZero"/>
        <c:auto val="1"/>
        <c:lblAlgn val="ctr"/>
        <c:lblOffset val="100"/>
        <c:noMultiLvlLbl val="0"/>
      </c:catAx>
      <c:valAx>
        <c:axId val="4885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49199"/>
        <c:crosses val="autoZero"/>
        <c:crossBetween val="between"/>
      </c:valAx>
      <c:valAx>
        <c:axId val="172275492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50351"/>
        <c:crosses val="max"/>
        <c:crossBetween val="between"/>
      </c:valAx>
      <c:catAx>
        <c:axId val="1722750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27549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Impacto de la Gravedad de Efectos Secundarios en la Tasa de Rechazo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Efectos!$B$2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Efectos!$A$3:$A$5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Efectos!$B$3:$B$5</c:f>
              <c:numCache>
                <c:formatCode>General</c:formatCode>
                <c:ptCount val="3"/>
                <c:pt idx="0">
                  <c:v>175</c:v>
                </c:pt>
                <c:pt idx="1">
                  <c:v>140</c:v>
                </c:pt>
                <c:pt idx="2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8-49E9-BAB8-E0BBC3FD735C}"/>
            </c:ext>
          </c:extLst>
        </c:ser>
        <c:ser>
          <c:idx val="1"/>
          <c:order val="1"/>
          <c:tx>
            <c:strRef>
              <c:f>Efectos!$C$2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Efectos!$A$3:$A$5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Efectos!$C$3:$C$5</c:f>
              <c:numCache>
                <c:formatCode>General</c:formatCode>
                <c:ptCount val="3"/>
                <c:pt idx="0">
                  <c:v>157</c:v>
                </c:pt>
                <c:pt idx="1">
                  <c:v>174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8-49E9-BAB8-E0BBC3FD735C}"/>
            </c:ext>
          </c:extLst>
        </c:ser>
        <c:ser>
          <c:idx val="2"/>
          <c:order val="2"/>
          <c:tx>
            <c:strRef>
              <c:f>Efectos!$D$2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Efectos!$A$3:$A$5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Efectos!$D$3:$D$5</c:f>
              <c:numCache>
                <c:formatCode>General</c:formatCode>
                <c:ptCount val="3"/>
                <c:pt idx="0">
                  <c:v>158</c:v>
                </c:pt>
                <c:pt idx="1">
                  <c:v>150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B8-49E9-BAB8-E0BBC3FD7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741615"/>
        <c:axId val="172274868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Efectos!$E$2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Efectos!$A$3:$A$5</c15:sqref>
                        </c15:formulaRef>
                      </c:ext>
                    </c:extLst>
                    <c:strCache>
                      <c:ptCount val="3"/>
                      <c:pt idx="0">
                        <c:v>Mild</c:v>
                      </c:pt>
                      <c:pt idx="1">
                        <c:v>Moderate</c:v>
                      </c:pt>
                      <c:pt idx="2">
                        <c:v>Severe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Efectos!$E$3:$E$5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490</c:v>
                      </c:pt>
                      <c:pt idx="1">
                        <c:v>464</c:v>
                      </c:pt>
                      <c:pt idx="2">
                        <c:v>482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8B8-49E9-BAB8-E0BBC3FD735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Efectos!$F$2</c:f>
              <c:strCache>
                <c:ptCount val="1"/>
                <c:pt idx="0">
                  <c:v>Tasa de rechazo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Efectos!$A$3:$A$5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Efectos!$F$3:$F$5</c:f>
              <c:numCache>
                <c:formatCode>0.00%</c:formatCode>
                <c:ptCount val="3"/>
                <c:pt idx="0">
                  <c:v>0.32244897959183672</c:v>
                </c:pt>
                <c:pt idx="1">
                  <c:v>0.32327586206896552</c:v>
                </c:pt>
                <c:pt idx="2">
                  <c:v>0.35269709543568467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B8-49E9-BAB8-E0BBC3FD7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745775"/>
        <c:axId val="1722744527"/>
      </c:lineChart>
      <c:catAx>
        <c:axId val="172274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48687"/>
        <c:crosses val="autoZero"/>
        <c:auto val="1"/>
        <c:lblAlgn val="ctr"/>
        <c:lblOffset val="100"/>
        <c:noMultiLvlLbl val="0"/>
      </c:catAx>
      <c:valAx>
        <c:axId val="172274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41615"/>
        <c:crosses val="autoZero"/>
        <c:crossBetween val="between"/>
      </c:valAx>
      <c:valAx>
        <c:axId val="17227445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45775"/>
        <c:crosses val="max"/>
        <c:crossBetween val="between"/>
      </c:valAx>
      <c:catAx>
        <c:axId val="172274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27445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aprobación</a:t>
            </a:r>
            <a:r>
              <a:rPr lang="en-US" baseline="0"/>
              <a:t> de farmacos por fabricantes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Resumen_fabricantes!$B$2</c:f>
              <c:strCache>
                <c:ptCount val="1"/>
                <c:pt idx="0">
                  <c:v>aprobados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Resumen_fabricantes!$A$3:$A$12</c:f>
              <c:strCache>
                <c:ptCount val="10"/>
                <c:pt idx="0">
                  <c:v>AstraZeneca</c:v>
                </c:pt>
                <c:pt idx="1">
                  <c:v>Merck &amp; Co.</c:v>
                </c:pt>
                <c:pt idx="2">
                  <c:v>Roche Holding AG</c:v>
                </c:pt>
                <c:pt idx="3">
                  <c:v>Pfizer Inc.</c:v>
                </c:pt>
                <c:pt idx="4">
                  <c:v>Johnson &amp; Johnson</c:v>
                </c:pt>
                <c:pt idx="5">
                  <c:v>GlaxoSmithKline</c:v>
                </c:pt>
                <c:pt idx="6">
                  <c:v>Sanofi</c:v>
                </c:pt>
                <c:pt idx="7">
                  <c:v>Bayer AG</c:v>
                </c:pt>
                <c:pt idx="8">
                  <c:v>Moderna Therapeutics</c:v>
                </c:pt>
                <c:pt idx="9">
                  <c:v>Novartis AG</c:v>
                </c:pt>
              </c:strCache>
            </c:strRef>
          </c:cat>
          <c:val>
            <c:numRef>
              <c:f>Resumen_fabricantes!$B$3:$B$12</c:f>
              <c:numCache>
                <c:formatCode>General</c:formatCode>
                <c:ptCount val="10"/>
                <c:pt idx="0">
                  <c:v>43</c:v>
                </c:pt>
                <c:pt idx="1">
                  <c:v>52</c:v>
                </c:pt>
                <c:pt idx="2">
                  <c:v>42</c:v>
                </c:pt>
                <c:pt idx="3">
                  <c:v>40</c:v>
                </c:pt>
                <c:pt idx="4">
                  <c:v>53</c:v>
                </c:pt>
                <c:pt idx="5">
                  <c:v>45</c:v>
                </c:pt>
                <c:pt idx="6">
                  <c:v>49</c:v>
                </c:pt>
                <c:pt idx="7">
                  <c:v>44</c:v>
                </c:pt>
                <c:pt idx="8">
                  <c:v>52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6-45B5-91A6-CBD95AE92D67}"/>
            </c:ext>
          </c:extLst>
        </c:ser>
        <c:ser>
          <c:idx val="1"/>
          <c:order val="1"/>
          <c:tx>
            <c:strRef>
              <c:f>Resumen_fabricantes!$C$2</c:f>
              <c:strCache>
                <c:ptCount val="1"/>
                <c:pt idx="0">
                  <c:v>desaprobados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Resumen_fabricantes!$A$3:$A$12</c:f>
              <c:strCache>
                <c:ptCount val="10"/>
                <c:pt idx="0">
                  <c:v>AstraZeneca</c:v>
                </c:pt>
                <c:pt idx="1">
                  <c:v>Merck &amp; Co.</c:v>
                </c:pt>
                <c:pt idx="2">
                  <c:v>Roche Holding AG</c:v>
                </c:pt>
                <c:pt idx="3">
                  <c:v>Pfizer Inc.</c:v>
                </c:pt>
                <c:pt idx="4">
                  <c:v>Johnson &amp; Johnson</c:v>
                </c:pt>
                <c:pt idx="5">
                  <c:v>GlaxoSmithKline</c:v>
                </c:pt>
                <c:pt idx="6">
                  <c:v>Sanofi</c:v>
                </c:pt>
                <c:pt idx="7">
                  <c:v>Bayer AG</c:v>
                </c:pt>
                <c:pt idx="8">
                  <c:v>Moderna Therapeutics</c:v>
                </c:pt>
                <c:pt idx="9">
                  <c:v>Novartis AG</c:v>
                </c:pt>
              </c:strCache>
            </c:strRef>
          </c:cat>
          <c:val>
            <c:numRef>
              <c:f>Resumen_fabricantes!$C$3:$C$12</c:f>
              <c:numCache>
                <c:formatCode>General</c:formatCode>
                <c:ptCount val="10"/>
                <c:pt idx="0">
                  <c:v>39</c:v>
                </c:pt>
                <c:pt idx="1">
                  <c:v>54</c:v>
                </c:pt>
                <c:pt idx="2">
                  <c:v>45</c:v>
                </c:pt>
                <c:pt idx="3">
                  <c:v>56</c:v>
                </c:pt>
                <c:pt idx="4">
                  <c:v>50</c:v>
                </c:pt>
                <c:pt idx="5">
                  <c:v>50</c:v>
                </c:pt>
                <c:pt idx="6">
                  <c:v>40</c:v>
                </c:pt>
                <c:pt idx="7">
                  <c:v>40</c:v>
                </c:pt>
                <c:pt idx="8">
                  <c:v>51</c:v>
                </c:pt>
                <c:pt idx="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6-45B5-91A6-CBD95AE92D67}"/>
            </c:ext>
          </c:extLst>
        </c:ser>
        <c:ser>
          <c:idx val="2"/>
          <c:order val="2"/>
          <c:tx>
            <c:strRef>
              <c:f>Resumen_fabricantes!$D$2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Resumen_fabricantes!$A$3:$A$12</c:f>
              <c:strCache>
                <c:ptCount val="10"/>
                <c:pt idx="0">
                  <c:v>AstraZeneca</c:v>
                </c:pt>
                <c:pt idx="1">
                  <c:v>Merck &amp; Co.</c:v>
                </c:pt>
                <c:pt idx="2">
                  <c:v>Roche Holding AG</c:v>
                </c:pt>
                <c:pt idx="3">
                  <c:v>Pfizer Inc.</c:v>
                </c:pt>
                <c:pt idx="4">
                  <c:v>Johnson &amp; Johnson</c:v>
                </c:pt>
                <c:pt idx="5">
                  <c:v>GlaxoSmithKline</c:v>
                </c:pt>
                <c:pt idx="6">
                  <c:v>Sanofi</c:v>
                </c:pt>
                <c:pt idx="7">
                  <c:v>Bayer AG</c:v>
                </c:pt>
                <c:pt idx="8">
                  <c:v>Moderna Therapeutics</c:v>
                </c:pt>
                <c:pt idx="9">
                  <c:v>Novartis AG</c:v>
                </c:pt>
              </c:strCache>
            </c:strRef>
          </c:cat>
          <c:val>
            <c:numRef>
              <c:f>Resumen_fabricantes!$D$3:$D$12</c:f>
              <c:numCache>
                <c:formatCode>General</c:formatCode>
                <c:ptCount val="10"/>
                <c:pt idx="0">
                  <c:v>50</c:v>
                </c:pt>
                <c:pt idx="1">
                  <c:v>51</c:v>
                </c:pt>
                <c:pt idx="2">
                  <c:v>50</c:v>
                </c:pt>
                <c:pt idx="3">
                  <c:v>40</c:v>
                </c:pt>
                <c:pt idx="4">
                  <c:v>46</c:v>
                </c:pt>
                <c:pt idx="5">
                  <c:v>45</c:v>
                </c:pt>
                <c:pt idx="6">
                  <c:v>59</c:v>
                </c:pt>
                <c:pt idx="7">
                  <c:v>63</c:v>
                </c:pt>
                <c:pt idx="8">
                  <c:v>43</c:v>
                </c:pt>
                <c:pt idx="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66-45B5-91A6-CBD95AE9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741952"/>
        <c:axId val="1663745696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Resumen_fabricantes!$E$2</c15:sqref>
                        </c15:formulaRef>
                      </c:ext>
                    </c:extLst>
                    <c:strCache>
                      <c:ptCount val="1"/>
                      <c:pt idx="0">
                        <c:v>total de medicamentos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Resumen_fabricantes!$A$3:$A$12</c15:sqref>
                        </c15:formulaRef>
                      </c:ext>
                    </c:extLst>
                    <c:strCache>
                      <c:ptCount val="10"/>
                      <c:pt idx="0">
                        <c:v>AstraZeneca</c:v>
                      </c:pt>
                      <c:pt idx="1">
                        <c:v>Merck &amp; Co.</c:v>
                      </c:pt>
                      <c:pt idx="2">
                        <c:v>Roche Holding AG</c:v>
                      </c:pt>
                      <c:pt idx="3">
                        <c:v>Pfizer Inc.</c:v>
                      </c:pt>
                      <c:pt idx="4">
                        <c:v>Johnson &amp; Johnson</c:v>
                      </c:pt>
                      <c:pt idx="5">
                        <c:v>GlaxoSmithKline</c:v>
                      </c:pt>
                      <c:pt idx="6">
                        <c:v>Sanofi</c:v>
                      </c:pt>
                      <c:pt idx="7">
                        <c:v>Bayer AG</c:v>
                      </c:pt>
                      <c:pt idx="8">
                        <c:v>Moderna Therapeutics</c:v>
                      </c:pt>
                      <c:pt idx="9">
                        <c:v>Novartis AG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Resumen_fabricantes!$E$3:$E$12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132</c:v>
                      </c:pt>
                      <c:pt idx="1">
                        <c:v>157</c:v>
                      </c:pt>
                      <c:pt idx="2">
                        <c:v>137</c:v>
                      </c:pt>
                      <c:pt idx="3">
                        <c:v>136</c:v>
                      </c:pt>
                      <c:pt idx="4">
                        <c:v>149</c:v>
                      </c:pt>
                      <c:pt idx="5">
                        <c:v>140</c:v>
                      </c:pt>
                      <c:pt idx="6">
                        <c:v>148</c:v>
                      </c:pt>
                      <c:pt idx="7">
                        <c:v>147</c:v>
                      </c:pt>
                      <c:pt idx="8">
                        <c:v>146</c:v>
                      </c:pt>
                      <c:pt idx="9">
                        <c:v>144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866-45B5-91A6-CBD95AE92D6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Resumen_fabricantes!$F$2</c15:sqref>
                        </c15:formulaRef>
                      </c:ext>
                    </c:extLst>
                    <c:strCache>
                      <c:ptCount val="1"/>
                      <c:pt idx="0">
                        <c:v>tasa de aprobación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Resumen_fabricantes!$A$3:$A$12</c15:sqref>
                        </c15:formulaRef>
                      </c:ext>
                    </c:extLst>
                    <c:strCache>
                      <c:ptCount val="10"/>
                      <c:pt idx="0">
                        <c:v>AstraZeneca</c:v>
                      </c:pt>
                      <c:pt idx="1">
                        <c:v>Merck &amp; Co.</c:v>
                      </c:pt>
                      <c:pt idx="2">
                        <c:v>Roche Holding AG</c:v>
                      </c:pt>
                      <c:pt idx="3">
                        <c:v>Pfizer Inc.</c:v>
                      </c:pt>
                      <c:pt idx="4">
                        <c:v>Johnson &amp; Johnson</c:v>
                      </c:pt>
                      <c:pt idx="5">
                        <c:v>GlaxoSmithKline</c:v>
                      </c:pt>
                      <c:pt idx="6">
                        <c:v>Sanofi</c:v>
                      </c:pt>
                      <c:pt idx="7">
                        <c:v>Bayer AG</c:v>
                      </c:pt>
                      <c:pt idx="8">
                        <c:v>Moderna Therapeutics</c:v>
                      </c:pt>
                      <c:pt idx="9">
                        <c:v>Novartis AG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Resumen_fabricantes!$F$3:$F$12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0.32575757575757575</c:v>
                      </c:pt>
                      <c:pt idx="1">
                        <c:v>0.33121019108280253</c:v>
                      </c:pt>
                      <c:pt idx="2">
                        <c:v>0.30656934306569344</c:v>
                      </c:pt>
                      <c:pt idx="3">
                        <c:v>0.29411764705882354</c:v>
                      </c:pt>
                      <c:pt idx="4">
                        <c:v>0.35570469798657717</c:v>
                      </c:pt>
                      <c:pt idx="5">
                        <c:v>0.32142857142857145</c:v>
                      </c:pt>
                      <c:pt idx="6">
                        <c:v>0.33108108108108109</c:v>
                      </c:pt>
                      <c:pt idx="7">
                        <c:v>0.29931972789115646</c:v>
                      </c:pt>
                      <c:pt idx="8">
                        <c:v>0.35616438356164382</c:v>
                      </c:pt>
                      <c:pt idx="9">
                        <c:v>0.29166666666666669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866-45B5-91A6-CBD95AE92D67}"/>
                  </c:ext>
                </c:extLst>
              </c15:ser>
            </c15:filteredBarSeries>
          </c:ext>
        </c:extLst>
      </c:barChart>
      <c:catAx>
        <c:axId val="16637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5696"/>
        <c:crosses val="autoZero"/>
        <c:auto val="1"/>
        <c:lblAlgn val="ctr"/>
        <c:lblOffset val="100"/>
        <c:noMultiLvlLbl val="0"/>
      </c:catAx>
      <c:valAx>
        <c:axId val="16637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</a:t>
            </a:r>
            <a:r>
              <a:rPr lang="en-US" baseline="0"/>
              <a:t> de precio de farmacos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medicamentos!$B$2</c:f>
              <c:strCache>
                <c:ptCount val="1"/>
                <c:pt idx="0">
                  <c:v>precio promedio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medicamentos!$A$3:$A$12</c:f>
              <c:strCache>
                <c:ptCount val="10"/>
                <c:pt idx="0">
                  <c:v>Antidepressant</c:v>
                </c:pt>
                <c:pt idx="1">
                  <c:v>Vaccine</c:v>
                </c:pt>
                <c:pt idx="2">
                  <c:v>Antipsychotic</c:v>
                </c:pt>
                <c:pt idx="3">
                  <c:v>Antifungal</c:v>
                </c:pt>
                <c:pt idx="4">
                  <c:v>Anti-inflammatory</c:v>
                </c:pt>
                <c:pt idx="5">
                  <c:v>Analgesic</c:v>
                </c:pt>
                <c:pt idx="6">
                  <c:v>Antibiotic</c:v>
                </c:pt>
                <c:pt idx="7">
                  <c:v>Antiviral</c:v>
                </c:pt>
                <c:pt idx="8">
                  <c:v>Antihistamine</c:v>
                </c:pt>
                <c:pt idx="9">
                  <c:v>Antipyretic</c:v>
                </c:pt>
              </c:strCache>
            </c:strRef>
          </c:cat>
          <c:val>
            <c:numRef>
              <c:f>medicamentos!$B$3:$B$12</c:f>
              <c:numCache>
                <c:formatCode>0.00</c:formatCode>
                <c:ptCount val="10"/>
                <c:pt idx="0">
                  <c:v>266.71532051282031</c:v>
                </c:pt>
                <c:pt idx="1">
                  <c:v>240.27659722222222</c:v>
                </c:pt>
                <c:pt idx="2">
                  <c:v>242.60938775510195</c:v>
                </c:pt>
                <c:pt idx="3">
                  <c:v>248.97638888888883</c:v>
                </c:pt>
                <c:pt idx="4">
                  <c:v>241.70772151898734</c:v>
                </c:pt>
                <c:pt idx="5">
                  <c:v>249.35515873015873</c:v>
                </c:pt>
                <c:pt idx="6">
                  <c:v>245.34664335664334</c:v>
                </c:pt>
                <c:pt idx="7">
                  <c:v>264.36021276595761</c:v>
                </c:pt>
                <c:pt idx="8">
                  <c:v>248.67069930069928</c:v>
                </c:pt>
                <c:pt idx="9">
                  <c:v>271.62514925373142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6-4DC9-860D-D22AB39A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737983"/>
        <c:axId val="584724671"/>
      </c:barChart>
      <c:catAx>
        <c:axId val="58473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24671"/>
        <c:crosses val="autoZero"/>
        <c:auto val="1"/>
        <c:lblAlgn val="ctr"/>
        <c:lblOffset val="100"/>
        <c:noMultiLvlLbl val="0"/>
      </c:catAx>
      <c:valAx>
        <c:axId val="58472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3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57149</xdr:rowOff>
    </xdr:from>
    <xdr:to>
      <xdr:col>7</xdr:col>
      <xdr:colOff>714375</xdr:colOff>
      <xdr:row>32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152400</xdr:rowOff>
    </xdr:from>
    <xdr:to>
      <xdr:col>6</xdr:col>
      <xdr:colOff>95250</xdr:colOff>
      <xdr:row>29</xdr:row>
      <xdr:rowOff>19050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114299</xdr:rowOff>
    </xdr:from>
    <xdr:to>
      <xdr:col>10</xdr:col>
      <xdr:colOff>152401</xdr:colOff>
      <xdr:row>37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38099</xdr:rowOff>
    </xdr:from>
    <xdr:to>
      <xdr:col>5</xdr:col>
      <xdr:colOff>9524</xdr:colOff>
      <xdr:row>27</xdr:row>
      <xdr:rowOff>47624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alistic_drug_labels_side_effects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a1" displayName="Tabla1" ref="A5:D15" totalsRowShown="0" headerRowDxfId="0" headerRowBorderDxfId="6" tableBorderDxfId="7" totalsRowBorderDxfId="5">
  <autoFilter ref="A5:D15"/>
  <tableColumns count="4">
    <tableColumn id="1" name="Clase de Medicamento" dataDxfId="4"/>
    <tableColumn id="2" name="Tasa de Rechazo (%)" dataDxfId="3"/>
    <tableColumn id="3" name="Precio Promedio (USD)" dataDxfId="2"/>
    <tableColumn id="4" name="Clasificación de Precio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O15"/>
  <sheetViews>
    <sheetView topLeftCell="A4" workbookViewId="0">
      <selection activeCell="D10" sqref="D10"/>
    </sheetView>
  </sheetViews>
  <sheetFormatPr baseColWidth="10" defaultRowHeight="15" x14ac:dyDescent="0.25"/>
  <cols>
    <col min="1" max="1" width="29.28515625" customWidth="1"/>
    <col min="2" max="2" width="35.85546875" customWidth="1"/>
    <col min="3" max="3" width="31.28515625" customWidth="1"/>
    <col min="4" max="4" width="25.42578125" customWidth="1"/>
  </cols>
  <sheetData>
    <row r="1" spans="1:15" x14ac:dyDescent="0.25">
      <c r="A1" s="21" t="s">
        <v>3321</v>
      </c>
      <c r="B1" s="22"/>
      <c r="C1" s="22"/>
      <c r="D1" s="23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</row>
    <row r="2" spans="1:15" x14ac:dyDescent="0.25">
      <c r="A2" s="24" t="s">
        <v>3322</v>
      </c>
      <c r="B2" s="25"/>
      <c r="C2" s="25"/>
      <c r="D2" s="25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</row>
    <row r="3" spans="1:15" x14ac:dyDescent="0.25">
      <c r="A3" s="26"/>
      <c r="B3" s="26"/>
      <c r="C3" s="26"/>
      <c r="D3" s="26"/>
      <c r="E3" s="11"/>
      <c r="F3" s="11"/>
      <c r="G3" s="11"/>
      <c r="H3" s="11"/>
      <c r="I3" s="11"/>
      <c r="J3" s="11"/>
      <c r="K3" s="11"/>
      <c r="L3" s="11"/>
      <c r="M3" s="12"/>
      <c r="N3" s="12"/>
      <c r="O3" s="12"/>
    </row>
    <row r="4" spans="1:15" ht="107.25" customHeight="1" x14ac:dyDescent="0.25">
      <c r="A4" s="26"/>
      <c r="B4" s="26"/>
      <c r="C4" s="26"/>
      <c r="D4" s="26"/>
    </row>
    <row r="5" spans="1:15" ht="30.75" thickBot="1" x14ac:dyDescent="0.3">
      <c r="A5" s="15" t="s">
        <v>3299</v>
      </c>
      <c r="B5" s="16" t="s">
        <v>3300</v>
      </c>
      <c r="C5" s="16" t="s">
        <v>3301</v>
      </c>
      <c r="D5" s="17" t="s">
        <v>3302</v>
      </c>
      <c r="E5" s="8"/>
      <c r="F5" s="8"/>
      <c r="G5" s="8"/>
      <c r="H5" s="8"/>
      <c r="I5" s="8"/>
      <c r="J5" s="8"/>
      <c r="K5" s="8"/>
    </row>
    <row r="6" spans="1:15" ht="15.75" thickBot="1" x14ac:dyDescent="0.3">
      <c r="A6" s="13" t="s">
        <v>95</v>
      </c>
      <c r="B6" s="9" t="s">
        <v>3318</v>
      </c>
      <c r="C6" s="9" t="s">
        <v>3303</v>
      </c>
      <c r="D6" s="14" t="s">
        <v>3304</v>
      </c>
      <c r="E6" s="8"/>
      <c r="F6" s="8"/>
      <c r="G6" s="8"/>
      <c r="H6" s="8"/>
      <c r="I6" s="8"/>
      <c r="J6" s="8"/>
      <c r="K6" s="8"/>
    </row>
    <row r="7" spans="1:15" ht="15.75" thickBot="1" x14ac:dyDescent="0.3">
      <c r="A7" s="13" t="s">
        <v>17</v>
      </c>
      <c r="B7" s="9" t="s">
        <v>3319</v>
      </c>
      <c r="C7" s="9" t="s">
        <v>3305</v>
      </c>
      <c r="D7" s="14" t="s">
        <v>3306</v>
      </c>
      <c r="E7" s="8"/>
      <c r="F7" s="8"/>
      <c r="G7" s="8"/>
      <c r="H7" s="8"/>
      <c r="I7" s="8"/>
      <c r="J7" s="8"/>
      <c r="K7" s="8"/>
    </row>
    <row r="8" spans="1:15" ht="15.75" thickBot="1" x14ac:dyDescent="0.3">
      <c r="A8" s="13" t="s">
        <v>83</v>
      </c>
      <c r="B8" s="9" t="s">
        <v>3319</v>
      </c>
      <c r="C8" s="9" t="s">
        <v>3307</v>
      </c>
      <c r="D8" s="14" t="s">
        <v>3304</v>
      </c>
      <c r="E8" s="8"/>
      <c r="F8" s="8"/>
      <c r="G8" s="8"/>
      <c r="H8" s="8"/>
      <c r="I8" s="8"/>
      <c r="J8" s="8"/>
      <c r="K8" s="8"/>
    </row>
    <row r="9" spans="1:15" ht="15.75" thickBot="1" x14ac:dyDescent="0.3">
      <c r="A9" s="13" t="s">
        <v>36</v>
      </c>
      <c r="B9" s="10">
        <v>0.33</v>
      </c>
      <c r="C9" s="9" t="s">
        <v>3308</v>
      </c>
      <c r="D9" s="14" t="s">
        <v>3304</v>
      </c>
      <c r="E9" s="8"/>
      <c r="F9" s="8"/>
      <c r="G9" s="8"/>
      <c r="H9" s="8"/>
      <c r="I9" s="8"/>
      <c r="J9" s="8"/>
      <c r="K9" s="8"/>
    </row>
    <row r="10" spans="1:15" ht="15.75" thickBot="1" x14ac:dyDescent="0.3">
      <c r="A10" s="13" t="s">
        <v>108</v>
      </c>
      <c r="B10" s="10">
        <v>0.32</v>
      </c>
      <c r="C10" s="9" t="s">
        <v>3309</v>
      </c>
      <c r="D10" s="14" t="s">
        <v>3310</v>
      </c>
      <c r="E10" s="8"/>
      <c r="F10" s="8"/>
      <c r="G10" s="8"/>
      <c r="H10" s="8"/>
      <c r="I10" s="8"/>
      <c r="J10" s="8"/>
      <c r="K10" s="8"/>
    </row>
    <row r="11" spans="1:15" ht="15.75" thickBot="1" x14ac:dyDescent="0.3">
      <c r="A11" s="13" t="s">
        <v>44</v>
      </c>
      <c r="B11" s="10">
        <v>0.32</v>
      </c>
      <c r="C11" s="9" t="s">
        <v>3311</v>
      </c>
      <c r="D11" s="14" t="s">
        <v>3304</v>
      </c>
      <c r="E11" s="8"/>
      <c r="F11" s="8"/>
      <c r="G11" s="8"/>
      <c r="H11" s="8"/>
      <c r="I11" s="8"/>
      <c r="J11" s="8"/>
      <c r="K11" s="8"/>
    </row>
    <row r="12" spans="1:15" ht="15.75" thickBot="1" x14ac:dyDescent="0.3">
      <c r="A12" s="13" t="s">
        <v>27</v>
      </c>
      <c r="B12" s="10">
        <v>0.31</v>
      </c>
      <c r="C12" s="9" t="s">
        <v>3312</v>
      </c>
      <c r="D12" s="14" t="s">
        <v>3313</v>
      </c>
      <c r="E12" s="8"/>
      <c r="F12" s="8"/>
      <c r="G12" s="8"/>
      <c r="H12" s="8"/>
      <c r="I12" s="8"/>
      <c r="J12" s="8"/>
      <c r="K12" s="8"/>
    </row>
    <row r="13" spans="1:15" ht="15.75" thickBot="1" x14ac:dyDescent="0.3">
      <c r="A13" s="13" t="s">
        <v>71</v>
      </c>
      <c r="B13" s="10">
        <v>0.31</v>
      </c>
      <c r="C13" s="9" t="s">
        <v>3314</v>
      </c>
      <c r="D13" s="14" t="s">
        <v>3304</v>
      </c>
    </row>
    <row r="14" spans="1:15" ht="15.75" thickBot="1" x14ac:dyDescent="0.3">
      <c r="A14" s="13" t="s">
        <v>89</v>
      </c>
      <c r="B14" s="10">
        <v>0.3</v>
      </c>
      <c r="C14" s="9" t="s">
        <v>3315</v>
      </c>
      <c r="D14" s="14" t="s">
        <v>3306</v>
      </c>
    </row>
    <row r="15" spans="1:15" x14ac:dyDescent="0.25">
      <c r="A15" s="18" t="s">
        <v>66</v>
      </c>
      <c r="B15" s="19" t="s">
        <v>3320</v>
      </c>
      <c r="C15" s="19" t="s">
        <v>3316</v>
      </c>
      <c r="D15" s="20" t="s">
        <v>3317</v>
      </c>
    </row>
  </sheetData>
  <mergeCells count="2">
    <mergeCell ref="A1:D1"/>
    <mergeCell ref="A2:D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O1437"/>
  <sheetViews>
    <sheetView topLeftCell="A88" workbookViewId="0">
      <selection activeCell="D96" sqref="D96:O96"/>
    </sheetView>
  </sheetViews>
  <sheetFormatPr baseColWidth="10" defaultRowHeight="15" x14ac:dyDescent="0.25"/>
  <cols>
    <col min="1" max="1" width="14.140625" bestFit="1" customWidth="1"/>
    <col min="2" max="2" width="21" bestFit="1" customWidth="1"/>
    <col min="3" max="3" width="13.5703125" bestFit="1" customWidth="1"/>
    <col min="4" max="4" width="17.5703125" bestFit="1" customWidth="1"/>
    <col min="5" max="5" width="24.7109375" bestFit="1" customWidth="1"/>
    <col min="6" max="6" width="36.42578125" bestFit="1" customWidth="1"/>
    <col min="7" max="7" width="11" bestFit="1" customWidth="1"/>
    <col min="8" max="8" width="20" bestFit="1" customWidth="1"/>
    <col min="9" max="9" width="18.85546875" bestFit="1" customWidth="1"/>
    <col min="10" max="10" width="25.85546875" bestFit="1" customWidth="1"/>
    <col min="11" max="11" width="9.5703125" bestFit="1" customWidth="1"/>
    <col min="12" max="12" width="13.85546875" bestFit="1" customWidth="1"/>
    <col min="13" max="13" width="11.5703125" bestFit="1" customWidth="1"/>
    <col min="14" max="14" width="19.28515625" bestFit="1" customWidth="1"/>
    <col min="15" max="15" width="1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1996</v>
      </c>
      <c r="D2" t="s">
        <v>17</v>
      </c>
      <c r="E2" t="s">
        <v>18</v>
      </c>
      <c r="F2" t="s">
        <v>19</v>
      </c>
      <c r="G2">
        <v>260</v>
      </c>
      <c r="H2" t="s">
        <v>20</v>
      </c>
      <c r="I2" t="s">
        <v>21</v>
      </c>
      <c r="J2" t="s">
        <v>22</v>
      </c>
      <c r="K2" s="4">
        <v>192.43</v>
      </c>
      <c r="L2" t="s">
        <v>23</v>
      </c>
      <c r="M2" s="1">
        <v>46355</v>
      </c>
      <c r="N2" t="s">
        <v>24</v>
      </c>
      <c r="O2" t="s">
        <v>25</v>
      </c>
    </row>
    <row r="3" spans="1:15" x14ac:dyDescent="0.25">
      <c r="A3" t="s">
        <v>26</v>
      </c>
      <c r="B3" t="s">
        <v>16</v>
      </c>
      <c r="C3">
        <v>2018</v>
      </c>
      <c r="D3" t="s">
        <v>27</v>
      </c>
      <c r="E3" t="s">
        <v>18</v>
      </c>
      <c r="F3" t="s">
        <v>28</v>
      </c>
      <c r="G3">
        <v>470</v>
      </c>
      <c r="H3" t="s">
        <v>29</v>
      </c>
      <c r="I3" t="s">
        <v>30</v>
      </c>
      <c r="J3" t="s">
        <v>31</v>
      </c>
      <c r="K3" s="4">
        <v>397.82</v>
      </c>
      <c r="L3" t="s">
        <v>32</v>
      </c>
      <c r="M3" s="1">
        <v>46582</v>
      </c>
      <c r="N3" t="s">
        <v>24</v>
      </c>
      <c r="O3" t="s">
        <v>33</v>
      </c>
    </row>
    <row r="4" spans="1:15" x14ac:dyDescent="0.25">
      <c r="A4" t="s">
        <v>34</v>
      </c>
      <c r="B4" t="s">
        <v>35</v>
      </c>
      <c r="C4">
        <v>1997</v>
      </c>
      <c r="D4" t="s">
        <v>36</v>
      </c>
      <c r="E4" t="s">
        <v>18</v>
      </c>
      <c r="F4" t="s">
        <v>37</v>
      </c>
      <c r="G4">
        <v>330</v>
      </c>
      <c r="H4" t="s">
        <v>38</v>
      </c>
      <c r="I4" t="s">
        <v>39</v>
      </c>
      <c r="J4" t="s">
        <v>31</v>
      </c>
      <c r="K4" s="4">
        <v>131.69</v>
      </c>
      <c r="L4" t="s">
        <v>40</v>
      </c>
      <c r="M4" s="1">
        <v>46906</v>
      </c>
      <c r="N4" t="s">
        <v>41</v>
      </c>
      <c r="O4" t="s">
        <v>25</v>
      </c>
    </row>
    <row r="5" spans="1:15" x14ac:dyDescent="0.25">
      <c r="A5" t="s">
        <v>42</v>
      </c>
      <c r="B5" t="s">
        <v>43</v>
      </c>
      <c r="C5">
        <v>2004</v>
      </c>
      <c r="D5" t="s">
        <v>44</v>
      </c>
      <c r="E5" t="s">
        <v>45</v>
      </c>
      <c r="F5" t="s">
        <v>46</v>
      </c>
      <c r="G5">
        <v>450</v>
      </c>
      <c r="H5" t="s">
        <v>47</v>
      </c>
      <c r="I5" t="s">
        <v>48</v>
      </c>
      <c r="J5" t="s">
        <v>49</v>
      </c>
      <c r="K5" s="4">
        <v>372.82</v>
      </c>
      <c r="L5" t="s">
        <v>50</v>
      </c>
      <c r="M5" s="1">
        <v>46210</v>
      </c>
      <c r="N5" t="s">
        <v>24</v>
      </c>
      <c r="O5" t="s">
        <v>51</v>
      </c>
    </row>
    <row r="6" spans="1:15" x14ac:dyDescent="0.25">
      <c r="A6" t="s">
        <v>52</v>
      </c>
      <c r="B6" t="s">
        <v>53</v>
      </c>
      <c r="C6">
        <v>2003</v>
      </c>
      <c r="D6" t="s">
        <v>17</v>
      </c>
      <c r="E6" t="s">
        <v>54</v>
      </c>
      <c r="F6" t="s">
        <v>55</v>
      </c>
      <c r="G6">
        <v>430</v>
      </c>
      <c r="H6" t="s">
        <v>56</v>
      </c>
      <c r="I6" t="s">
        <v>21</v>
      </c>
      <c r="J6" t="s">
        <v>49</v>
      </c>
      <c r="K6" s="4">
        <v>281.48</v>
      </c>
      <c r="L6" t="s">
        <v>57</v>
      </c>
      <c r="M6" s="1">
        <v>46749</v>
      </c>
      <c r="N6" t="s">
        <v>41</v>
      </c>
      <c r="O6" t="s">
        <v>25</v>
      </c>
    </row>
    <row r="7" spans="1:15" x14ac:dyDescent="0.25">
      <c r="A7" t="s">
        <v>58</v>
      </c>
      <c r="B7" t="s">
        <v>59</v>
      </c>
      <c r="C7">
        <v>2023</v>
      </c>
      <c r="D7" t="s">
        <v>44</v>
      </c>
      <c r="E7" t="s">
        <v>60</v>
      </c>
      <c r="F7" t="s">
        <v>61</v>
      </c>
      <c r="G7">
        <v>180</v>
      </c>
      <c r="H7" t="s">
        <v>62</v>
      </c>
      <c r="I7" t="s">
        <v>21</v>
      </c>
      <c r="J7" t="s">
        <v>63</v>
      </c>
      <c r="K7" s="4">
        <v>463.28</v>
      </c>
      <c r="L7" t="s">
        <v>64</v>
      </c>
      <c r="M7" s="1">
        <v>46006</v>
      </c>
      <c r="N7" t="s">
        <v>41</v>
      </c>
      <c r="O7" t="s">
        <v>51</v>
      </c>
    </row>
    <row r="8" spans="1:15" x14ac:dyDescent="0.25">
      <c r="A8" t="s">
        <v>65</v>
      </c>
      <c r="B8" t="s">
        <v>16</v>
      </c>
      <c r="C8">
        <v>2004</v>
      </c>
      <c r="D8" t="s">
        <v>66</v>
      </c>
      <c r="E8" t="s">
        <v>54</v>
      </c>
      <c r="F8" t="s">
        <v>67</v>
      </c>
      <c r="G8">
        <v>500</v>
      </c>
      <c r="H8" t="s">
        <v>56</v>
      </c>
      <c r="I8" t="s">
        <v>21</v>
      </c>
      <c r="J8" t="s">
        <v>63</v>
      </c>
      <c r="K8" s="4">
        <v>320.77</v>
      </c>
      <c r="L8" t="s">
        <v>68</v>
      </c>
      <c r="M8" s="1">
        <v>45954</v>
      </c>
      <c r="N8" t="s">
        <v>24</v>
      </c>
      <c r="O8" t="s">
        <v>25</v>
      </c>
    </row>
    <row r="9" spans="1:15" x14ac:dyDescent="0.25">
      <c r="A9" t="s">
        <v>69</v>
      </c>
      <c r="B9" t="s">
        <v>70</v>
      </c>
      <c r="C9">
        <v>2018</v>
      </c>
      <c r="D9" t="s">
        <v>71</v>
      </c>
      <c r="E9" t="s">
        <v>72</v>
      </c>
      <c r="F9" t="s">
        <v>28</v>
      </c>
      <c r="G9">
        <v>570</v>
      </c>
      <c r="H9" t="s">
        <v>29</v>
      </c>
      <c r="I9" t="s">
        <v>73</v>
      </c>
      <c r="J9" t="s">
        <v>22</v>
      </c>
      <c r="K9" s="4">
        <v>57.48</v>
      </c>
      <c r="L9" t="s">
        <v>74</v>
      </c>
      <c r="M9" s="1">
        <v>46292</v>
      </c>
      <c r="N9" t="s">
        <v>75</v>
      </c>
      <c r="O9" t="s">
        <v>33</v>
      </c>
    </row>
    <row r="10" spans="1:15" x14ac:dyDescent="0.25">
      <c r="A10" t="s">
        <v>76</v>
      </c>
      <c r="B10" t="s">
        <v>77</v>
      </c>
      <c r="C10">
        <v>2012</v>
      </c>
      <c r="D10" t="s">
        <v>71</v>
      </c>
      <c r="E10" t="s">
        <v>78</v>
      </c>
      <c r="F10" t="s">
        <v>79</v>
      </c>
      <c r="G10">
        <v>420</v>
      </c>
      <c r="H10" t="s">
        <v>47</v>
      </c>
      <c r="I10" t="s">
        <v>80</v>
      </c>
      <c r="J10" t="s">
        <v>22</v>
      </c>
      <c r="K10" s="4">
        <v>251.97</v>
      </c>
      <c r="L10" t="s">
        <v>81</v>
      </c>
      <c r="M10" s="1">
        <v>46299</v>
      </c>
      <c r="N10" t="s">
        <v>41</v>
      </c>
      <c r="O10" t="s">
        <v>33</v>
      </c>
    </row>
    <row r="11" spans="1:15" x14ac:dyDescent="0.25">
      <c r="A11" t="s">
        <v>82</v>
      </c>
      <c r="B11" t="s">
        <v>70</v>
      </c>
      <c r="C11">
        <v>2013</v>
      </c>
      <c r="D11" t="s">
        <v>83</v>
      </c>
      <c r="E11" t="s">
        <v>72</v>
      </c>
      <c r="F11" t="s">
        <v>84</v>
      </c>
      <c r="G11">
        <v>580</v>
      </c>
      <c r="H11" t="s">
        <v>85</v>
      </c>
      <c r="I11" t="s">
        <v>86</v>
      </c>
      <c r="J11" t="s">
        <v>31</v>
      </c>
      <c r="K11" s="4">
        <v>4.4800000000000004</v>
      </c>
      <c r="L11" t="s">
        <v>87</v>
      </c>
      <c r="M11" s="1">
        <v>45955</v>
      </c>
      <c r="N11" t="s">
        <v>75</v>
      </c>
      <c r="O11" t="s">
        <v>33</v>
      </c>
    </row>
    <row r="12" spans="1:15" x14ac:dyDescent="0.25">
      <c r="A12" t="s">
        <v>88</v>
      </c>
      <c r="B12" t="s">
        <v>16</v>
      </c>
      <c r="C12">
        <v>1994</v>
      </c>
      <c r="D12" t="s">
        <v>89</v>
      </c>
      <c r="E12" t="s">
        <v>18</v>
      </c>
      <c r="F12" t="s">
        <v>90</v>
      </c>
      <c r="G12">
        <v>860</v>
      </c>
      <c r="H12" t="s">
        <v>47</v>
      </c>
      <c r="I12" t="s">
        <v>91</v>
      </c>
      <c r="J12" t="s">
        <v>92</v>
      </c>
      <c r="K12" s="4">
        <v>99.56</v>
      </c>
      <c r="L12" t="s">
        <v>93</v>
      </c>
      <c r="M12" s="1">
        <v>46957</v>
      </c>
      <c r="N12" t="s">
        <v>75</v>
      </c>
      <c r="O12" t="s">
        <v>51</v>
      </c>
    </row>
    <row r="13" spans="1:15" x14ac:dyDescent="0.25">
      <c r="A13" t="s">
        <v>94</v>
      </c>
      <c r="B13" t="s">
        <v>59</v>
      </c>
      <c r="C13">
        <v>1997</v>
      </c>
      <c r="D13" t="s">
        <v>95</v>
      </c>
      <c r="E13" t="s">
        <v>18</v>
      </c>
      <c r="F13" t="s">
        <v>79</v>
      </c>
      <c r="G13">
        <v>730</v>
      </c>
      <c r="H13" t="s">
        <v>56</v>
      </c>
      <c r="I13" t="s">
        <v>30</v>
      </c>
      <c r="J13" t="s">
        <v>49</v>
      </c>
      <c r="K13" s="4">
        <v>176.53</v>
      </c>
      <c r="L13" t="s">
        <v>96</v>
      </c>
      <c r="M13" s="1">
        <v>46811</v>
      </c>
      <c r="N13" t="s">
        <v>41</v>
      </c>
      <c r="O13" t="s">
        <v>33</v>
      </c>
    </row>
    <row r="14" spans="1:15" x14ac:dyDescent="0.25">
      <c r="A14" t="s">
        <v>97</v>
      </c>
      <c r="B14" t="s">
        <v>98</v>
      </c>
      <c r="C14">
        <v>2017</v>
      </c>
      <c r="D14" t="s">
        <v>89</v>
      </c>
      <c r="E14" t="s">
        <v>99</v>
      </c>
      <c r="F14" t="s">
        <v>100</v>
      </c>
      <c r="G14">
        <v>20</v>
      </c>
      <c r="H14" t="s">
        <v>29</v>
      </c>
      <c r="I14" t="s">
        <v>91</v>
      </c>
      <c r="J14" t="s">
        <v>101</v>
      </c>
      <c r="K14" s="4">
        <v>295.29000000000002</v>
      </c>
      <c r="L14" t="s">
        <v>102</v>
      </c>
      <c r="M14" s="1">
        <v>46856</v>
      </c>
      <c r="N14" t="s">
        <v>41</v>
      </c>
      <c r="O14" t="s">
        <v>33</v>
      </c>
    </row>
    <row r="15" spans="1:15" x14ac:dyDescent="0.25">
      <c r="A15" t="s">
        <v>103</v>
      </c>
      <c r="B15" t="s">
        <v>16</v>
      </c>
      <c r="C15">
        <v>2008</v>
      </c>
      <c r="D15" t="s">
        <v>83</v>
      </c>
      <c r="E15" t="s">
        <v>104</v>
      </c>
      <c r="F15" t="s">
        <v>105</v>
      </c>
      <c r="G15">
        <v>580</v>
      </c>
      <c r="H15" t="s">
        <v>62</v>
      </c>
      <c r="I15" t="s">
        <v>86</v>
      </c>
      <c r="J15" t="s">
        <v>49</v>
      </c>
      <c r="K15" s="4">
        <v>156.63</v>
      </c>
      <c r="L15" t="s">
        <v>106</v>
      </c>
      <c r="M15" s="1">
        <v>46057</v>
      </c>
      <c r="N15" t="s">
        <v>24</v>
      </c>
      <c r="O15" t="s">
        <v>25</v>
      </c>
    </row>
    <row r="16" spans="1:15" x14ac:dyDescent="0.25">
      <c r="A16" t="s">
        <v>107</v>
      </c>
      <c r="B16" t="s">
        <v>59</v>
      </c>
      <c r="C16">
        <v>2020</v>
      </c>
      <c r="D16" t="s">
        <v>108</v>
      </c>
      <c r="E16" t="s">
        <v>60</v>
      </c>
      <c r="F16" t="s">
        <v>109</v>
      </c>
      <c r="G16">
        <v>10</v>
      </c>
      <c r="H16" t="s">
        <v>56</v>
      </c>
      <c r="I16" t="s">
        <v>73</v>
      </c>
      <c r="J16" t="s">
        <v>110</v>
      </c>
      <c r="K16" s="4">
        <v>412.56</v>
      </c>
      <c r="L16" t="s">
        <v>111</v>
      </c>
      <c r="M16" s="1">
        <v>46856</v>
      </c>
      <c r="N16" t="s">
        <v>75</v>
      </c>
      <c r="O16" t="s">
        <v>51</v>
      </c>
    </row>
    <row r="17" spans="1:15" x14ac:dyDescent="0.25">
      <c r="A17" t="s">
        <v>112</v>
      </c>
      <c r="B17" t="s">
        <v>35</v>
      </c>
      <c r="C17">
        <v>1999</v>
      </c>
      <c r="D17" t="s">
        <v>36</v>
      </c>
      <c r="E17" t="s">
        <v>18</v>
      </c>
      <c r="F17" t="s">
        <v>113</v>
      </c>
      <c r="G17">
        <v>790</v>
      </c>
      <c r="H17" t="s">
        <v>56</v>
      </c>
      <c r="I17" t="s">
        <v>86</v>
      </c>
      <c r="J17" t="s">
        <v>63</v>
      </c>
      <c r="K17" s="4">
        <v>49.47</v>
      </c>
      <c r="L17" t="s">
        <v>114</v>
      </c>
      <c r="M17" s="1">
        <v>46241</v>
      </c>
      <c r="N17" t="s">
        <v>75</v>
      </c>
      <c r="O17" t="s">
        <v>33</v>
      </c>
    </row>
    <row r="18" spans="1:15" x14ac:dyDescent="0.25">
      <c r="A18" t="s">
        <v>115</v>
      </c>
      <c r="B18" t="s">
        <v>70</v>
      </c>
      <c r="C18">
        <v>1996</v>
      </c>
      <c r="D18" t="s">
        <v>17</v>
      </c>
      <c r="E18" t="s">
        <v>116</v>
      </c>
      <c r="F18" t="s">
        <v>67</v>
      </c>
      <c r="G18">
        <v>770</v>
      </c>
      <c r="H18" t="s">
        <v>20</v>
      </c>
      <c r="I18" t="s">
        <v>80</v>
      </c>
      <c r="J18" t="s">
        <v>31</v>
      </c>
      <c r="K18" s="4">
        <v>85.4</v>
      </c>
      <c r="L18" t="s">
        <v>117</v>
      </c>
      <c r="M18" s="1">
        <v>46545</v>
      </c>
      <c r="N18" t="s">
        <v>75</v>
      </c>
      <c r="O18" t="s">
        <v>51</v>
      </c>
    </row>
    <row r="19" spans="1:15" x14ac:dyDescent="0.25">
      <c r="A19" t="s">
        <v>118</v>
      </c>
      <c r="B19" t="s">
        <v>43</v>
      </c>
      <c r="C19">
        <v>2020</v>
      </c>
      <c r="D19" t="s">
        <v>83</v>
      </c>
      <c r="E19" t="s">
        <v>119</v>
      </c>
      <c r="F19" t="s">
        <v>120</v>
      </c>
      <c r="G19">
        <v>790</v>
      </c>
      <c r="H19" t="s">
        <v>85</v>
      </c>
      <c r="I19" t="s">
        <v>73</v>
      </c>
      <c r="J19" t="s">
        <v>121</v>
      </c>
      <c r="K19" s="4">
        <v>109.81</v>
      </c>
      <c r="L19" t="s">
        <v>122</v>
      </c>
      <c r="M19" s="1">
        <v>46485</v>
      </c>
      <c r="N19" t="s">
        <v>75</v>
      </c>
      <c r="O19" t="s">
        <v>25</v>
      </c>
    </row>
    <row r="20" spans="1:15" x14ac:dyDescent="0.25">
      <c r="A20" t="s">
        <v>123</v>
      </c>
      <c r="B20" t="s">
        <v>77</v>
      </c>
      <c r="C20">
        <v>2016</v>
      </c>
      <c r="D20" t="s">
        <v>89</v>
      </c>
      <c r="E20" t="s">
        <v>72</v>
      </c>
      <c r="F20" t="s">
        <v>124</v>
      </c>
      <c r="G20">
        <v>990</v>
      </c>
      <c r="H20" t="s">
        <v>62</v>
      </c>
      <c r="I20" t="s">
        <v>80</v>
      </c>
      <c r="J20" t="s">
        <v>125</v>
      </c>
      <c r="K20" s="4">
        <v>270.85000000000002</v>
      </c>
      <c r="L20" t="s">
        <v>126</v>
      </c>
      <c r="M20" s="1">
        <v>46724</v>
      </c>
      <c r="N20" t="s">
        <v>24</v>
      </c>
      <c r="O20" t="s">
        <v>25</v>
      </c>
    </row>
    <row r="21" spans="1:15" x14ac:dyDescent="0.25">
      <c r="A21" t="s">
        <v>127</v>
      </c>
      <c r="B21" t="s">
        <v>70</v>
      </c>
      <c r="C21">
        <v>1992</v>
      </c>
      <c r="D21" t="s">
        <v>83</v>
      </c>
      <c r="E21" t="s">
        <v>45</v>
      </c>
      <c r="F21" t="s">
        <v>128</v>
      </c>
      <c r="G21">
        <v>730</v>
      </c>
      <c r="H21" t="s">
        <v>47</v>
      </c>
      <c r="I21" t="s">
        <v>73</v>
      </c>
      <c r="J21" t="s">
        <v>22</v>
      </c>
      <c r="K21" s="4">
        <v>200.23</v>
      </c>
      <c r="L21" t="s">
        <v>129</v>
      </c>
      <c r="M21" s="1">
        <v>46605</v>
      </c>
      <c r="N21" t="s">
        <v>75</v>
      </c>
      <c r="O21" t="s">
        <v>25</v>
      </c>
    </row>
    <row r="22" spans="1:15" x14ac:dyDescent="0.25">
      <c r="A22" t="s">
        <v>130</v>
      </c>
      <c r="B22" t="s">
        <v>35</v>
      </c>
      <c r="C22">
        <v>2002</v>
      </c>
      <c r="D22" t="s">
        <v>108</v>
      </c>
      <c r="E22" t="s">
        <v>104</v>
      </c>
      <c r="F22" t="s">
        <v>131</v>
      </c>
      <c r="G22">
        <v>360</v>
      </c>
      <c r="H22" t="s">
        <v>47</v>
      </c>
      <c r="I22" t="s">
        <v>39</v>
      </c>
      <c r="J22" t="s">
        <v>49</v>
      </c>
      <c r="K22" s="4">
        <v>101.19</v>
      </c>
      <c r="L22" t="s">
        <v>132</v>
      </c>
      <c r="M22" s="1">
        <v>46194</v>
      </c>
      <c r="N22" t="s">
        <v>75</v>
      </c>
      <c r="O22" t="s">
        <v>33</v>
      </c>
    </row>
    <row r="23" spans="1:15" x14ac:dyDescent="0.25">
      <c r="A23" t="s">
        <v>133</v>
      </c>
      <c r="B23" t="s">
        <v>134</v>
      </c>
      <c r="C23">
        <v>1997</v>
      </c>
      <c r="D23" t="s">
        <v>36</v>
      </c>
      <c r="E23" t="s">
        <v>45</v>
      </c>
      <c r="F23" t="s">
        <v>135</v>
      </c>
      <c r="G23">
        <v>380</v>
      </c>
      <c r="H23" t="s">
        <v>47</v>
      </c>
      <c r="I23" t="s">
        <v>91</v>
      </c>
      <c r="J23" t="s">
        <v>110</v>
      </c>
      <c r="K23" s="4">
        <v>193.27</v>
      </c>
      <c r="L23" t="s">
        <v>136</v>
      </c>
      <c r="M23" s="1">
        <v>46483</v>
      </c>
      <c r="N23" t="s">
        <v>75</v>
      </c>
      <c r="O23" t="s">
        <v>25</v>
      </c>
    </row>
    <row r="24" spans="1:15" x14ac:dyDescent="0.25">
      <c r="A24" t="s">
        <v>137</v>
      </c>
      <c r="B24" t="s">
        <v>138</v>
      </c>
      <c r="C24">
        <v>1990</v>
      </c>
      <c r="D24" t="s">
        <v>36</v>
      </c>
      <c r="E24" t="s">
        <v>99</v>
      </c>
      <c r="F24" t="s">
        <v>139</v>
      </c>
      <c r="G24">
        <v>540</v>
      </c>
      <c r="H24" t="s">
        <v>62</v>
      </c>
      <c r="I24" t="s">
        <v>73</v>
      </c>
      <c r="J24" t="s">
        <v>22</v>
      </c>
      <c r="K24" s="4">
        <v>498.4</v>
      </c>
      <c r="L24" t="s">
        <v>140</v>
      </c>
      <c r="M24" s="1">
        <v>46441</v>
      </c>
      <c r="N24" t="s">
        <v>24</v>
      </c>
      <c r="O24" t="s">
        <v>51</v>
      </c>
    </row>
    <row r="25" spans="1:15" x14ac:dyDescent="0.25">
      <c r="A25" t="s">
        <v>141</v>
      </c>
      <c r="B25" t="s">
        <v>77</v>
      </c>
      <c r="C25">
        <v>2001</v>
      </c>
      <c r="D25" t="s">
        <v>95</v>
      </c>
      <c r="E25" t="s">
        <v>99</v>
      </c>
      <c r="F25" t="s">
        <v>142</v>
      </c>
      <c r="G25">
        <v>510</v>
      </c>
      <c r="H25" t="s">
        <v>56</v>
      </c>
      <c r="I25" t="s">
        <v>80</v>
      </c>
      <c r="J25" t="s">
        <v>101</v>
      </c>
      <c r="K25" s="4">
        <v>433.16</v>
      </c>
      <c r="L25" t="s">
        <v>143</v>
      </c>
      <c r="M25" s="1">
        <v>46121</v>
      </c>
      <c r="N25" t="s">
        <v>24</v>
      </c>
      <c r="O25" t="s">
        <v>51</v>
      </c>
    </row>
    <row r="26" spans="1:15" x14ac:dyDescent="0.25">
      <c r="A26" t="s">
        <v>144</v>
      </c>
      <c r="B26" t="s">
        <v>77</v>
      </c>
      <c r="C26">
        <v>2018</v>
      </c>
      <c r="D26" t="s">
        <v>89</v>
      </c>
      <c r="E26" t="s">
        <v>72</v>
      </c>
      <c r="F26" t="s">
        <v>145</v>
      </c>
      <c r="G26">
        <v>600</v>
      </c>
      <c r="H26" t="s">
        <v>56</v>
      </c>
      <c r="I26" t="s">
        <v>21</v>
      </c>
      <c r="J26" t="s">
        <v>146</v>
      </c>
      <c r="K26" s="4">
        <v>489.56</v>
      </c>
      <c r="L26" t="s">
        <v>147</v>
      </c>
      <c r="M26" s="1">
        <v>46785</v>
      </c>
      <c r="N26" t="s">
        <v>75</v>
      </c>
      <c r="O26" t="s">
        <v>25</v>
      </c>
    </row>
    <row r="27" spans="1:15" x14ac:dyDescent="0.25">
      <c r="A27" t="s">
        <v>148</v>
      </c>
      <c r="B27" t="s">
        <v>53</v>
      </c>
      <c r="C27">
        <v>2024</v>
      </c>
      <c r="D27" t="s">
        <v>83</v>
      </c>
      <c r="E27" t="s">
        <v>116</v>
      </c>
      <c r="F27" t="s">
        <v>19</v>
      </c>
      <c r="G27">
        <v>300</v>
      </c>
      <c r="H27" t="s">
        <v>20</v>
      </c>
      <c r="I27" t="s">
        <v>39</v>
      </c>
      <c r="J27" t="s">
        <v>121</v>
      </c>
      <c r="K27" s="4">
        <v>340.85</v>
      </c>
      <c r="L27" t="s">
        <v>149</v>
      </c>
      <c r="M27" s="1">
        <v>46682</v>
      </c>
      <c r="N27" t="s">
        <v>24</v>
      </c>
      <c r="O27" t="s">
        <v>51</v>
      </c>
    </row>
    <row r="28" spans="1:15" x14ac:dyDescent="0.25">
      <c r="A28" t="s">
        <v>150</v>
      </c>
      <c r="B28" t="s">
        <v>59</v>
      </c>
      <c r="C28">
        <v>1990</v>
      </c>
      <c r="D28" t="s">
        <v>36</v>
      </c>
      <c r="E28" t="s">
        <v>72</v>
      </c>
      <c r="F28" t="s">
        <v>79</v>
      </c>
      <c r="G28">
        <v>10</v>
      </c>
      <c r="H28" t="s">
        <v>47</v>
      </c>
      <c r="I28" t="s">
        <v>151</v>
      </c>
      <c r="J28" t="s">
        <v>63</v>
      </c>
      <c r="K28" s="4">
        <v>146.94999999999999</v>
      </c>
      <c r="L28" t="s">
        <v>152</v>
      </c>
      <c r="M28" s="1">
        <v>46071</v>
      </c>
      <c r="N28" t="s">
        <v>75</v>
      </c>
      <c r="O28" t="s">
        <v>25</v>
      </c>
    </row>
    <row r="29" spans="1:15" x14ac:dyDescent="0.25">
      <c r="A29" t="s">
        <v>153</v>
      </c>
      <c r="B29" t="s">
        <v>98</v>
      </c>
      <c r="C29">
        <v>1993</v>
      </c>
      <c r="D29" t="s">
        <v>36</v>
      </c>
      <c r="E29" t="s">
        <v>99</v>
      </c>
      <c r="F29" t="s">
        <v>124</v>
      </c>
      <c r="G29">
        <v>450</v>
      </c>
      <c r="H29" t="s">
        <v>62</v>
      </c>
      <c r="I29" t="s">
        <v>80</v>
      </c>
      <c r="J29" t="s">
        <v>110</v>
      </c>
      <c r="K29" s="4">
        <v>166.48</v>
      </c>
      <c r="L29" t="s">
        <v>154</v>
      </c>
      <c r="M29" s="1">
        <v>46185</v>
      </c>
      <c r="N29" t="s">
        <v>75</v>
      </c>
      <c r="O29" t="s">
        <v>33</v>
      </c>
    </row>
    <row r="30" spans="1:15" x14ac:dyDescent="0.25">
      <c r="A30" t="s">
        <v>155</v>
      </c>
      <c r="B30" t="s">
        <v>70</v>
      </c>
      <c r="C30">
        <v>1990</v>
      </c>
      <c r="D30" t="s">
        <v>66</v>
      </c>
      <c r="E30" t="s">
        <v>104</v>
      </c>
      <c r="F30" t="s">
        <v>156</v>
      </c>
      <c r="G30">
        <v>150</v>
      </c>
      <c r="H30" t="s">
        <v>38</v>
      </c>
      <c r="I30" t="s">
        <v>86</v>
      </c>
      <c r="J30" t="s">
        <v>110</v>
      </c>
      <c r="K30" s="4">
        <v>37.729999999999997</v>
      </c>
      <c r="L30" t="s">
        <v>157</v>
      </c>
      <c r="M30" s="1">
        <v>46464</v>
      </c>
      <c r="N30" t="s">
        <v>41</v>
      </c>
      <c r="O30" t="s">
        <v>25</v>
      </c>
    </row>
    <row r="31" spans="1:15" x14ac:dyDescent="0.25">
      <c r="A31" t="s">
        <v>158</v>
      </c>
      <c r="B31" t="s">
        <v>35</v>
      </c>
      <c r="C31">
        <v>1997</v>
      </c>
      <c r="D31" t="s">
        <v>66</v>
      </c>
      <c r="E31" t="s">
        <v>119</v>
      </c>
      <c r="F31" t="s">
        <v>159</v>
      </c>
      <c r="G31">
        <v>60</v>
      </c>
      <c r="H31" t="s">
        <v>29</v>
      </c>
      <c r="I31" t="s">
        <v>48</v>
      </c>
      <c r="J31" t="s">
        <v>146</v>
      </c>
      <c r="K31" s="4">
        <v>9.0500000000000007</v>
      </c>
      <c r="L31" t="s">
        <v>160</v>
      </c>
      <c r="M31" s="1">
        <v>45998</v>
      </c>
      <c r="N31" t="s">
        <v>75</v>
      </c>
      <c r="O31" t="s">
        <v>51</v>
      </c>
    </row>
    <row r="32" spans="1:15" x14ac:dyDescent="0.25">
      <c r="A32" t="s">
        <v>161</v>
      </c>
      <c r="B32" t="s">
        <v>53</v>
      </c>
      <c r="C32">
        <v>2020</v>
      </c>
      <c r="D32" t="s">
        <v>108</v>
      </c>
      <c r="E32" t="s">
        <v>72</v>
      </c>
      <c r="F32" t="s">
        <v>162</v>
      </c>
      <c r="G32">
        <v>920</v>
      </c>
      <c r="H32" t="s">
        <v>56</v>
      </c>
      <c r="I32" t="s">
        <v>91</v>
      </c>
      <c r="J32" t="s">
        <v>63</v>
      </c>
      <c r="K32" s="4">
        <v>207.32</v>
      </c>
      <c r="L32" t="s">
        <v>163</v>
      </c>
      <c r="M32" s="1">
        <v>46954</v>
      </c>
      <c r="N32" t="s">
        <v>24</v>
      </c>
      <c r="O32" t="s">
        <v>51</v>
      </c>
    </row>
    <row r="33" spans="1:15" x14ac:dyDescent="0.25">
      <c r="A33" t="s">
        <v>164</v>
      </c>
      <c r="B33" t="s">
        <v>59</v>
      </c>
      <c r="C33">
        <v>2007</v>
      </c>
      <c r="D33" t="s">
        <v>17</v>
      </c>
      <c r="E33" t="s">
        <v>18</v>
      </c>
      <c r="F33" t="s">
        <v>145</v>
      </c>
      <c r="G33">
        <v>460</v>
      </c>
      <c r="H33" t="s">
        <v>38</v>
      </c>
      <c r="I33" t="s">
        <v>80</v>
      </c>
      <c r="J33" t="s">
        <v>49</v>
      </c>
      <c r="K33" s="4">
        <v>451.54</v>
      </c>
      <c r="L33" t="s">
        <v>165</v>
      </c>
      <c r="M33" s="1">
        <v>46719</v>
      </c>
      <c r="N33" t="s">
        <v>24</v>
      </c>
      <c r="O33" t="s">
        <v>33</v>
      </c>
    </row>
    <row r="34" spans="1:15" x14ac:dyDescent="0.25">
      <c r="A34" t="s">
        <v>166</v>
      </c>
      <c r="B34" t="s">
        <v>43</v>
      </c>
      <c r="C34">
        <v>1990</v>
      </c>
      <c r="D34" t="s">
        <v>66</v>
      </c>
      <c r="E34" t="s">
        <v>104</v>
      </c>
      <c r="F34" t="s">
        <v>167</v>
      </c>
      <c r="G34">
        <v>540</v>
      </c>
      <c r="H34" t="s">
        <v>62</v>
      </c>
      <c r="I34" t="s">
        <v>80</v>
      </c>
      <c r="J34" t="s">
        <v>49</v>
      </c>
      <c r="K34" s="4">
        <v>265.79000000000002</v>
      </c>
      <c r="L34" t="s">
        <v>168</v>
      </c>
      <c r="M34" s="1">
        <v>46501</v>
      </c>
      <c r="N34" t="s">
        <v>75</v>
      </c>
      <c r="O34" t="s">
        <v>33</v>
      </c>
    </row>
    <row r="35" spans="1:15" x14ac:dyDescent="0.25">
      <c r="A35" t="s">
        <v>169</v>
      </c>
      <c r="B35" t="s">
        <v>138</v>
      </c>
      <c r="C35">
        <v>1998</v>
      </c>
      <c r="D35" t="s">
        <v>95</v>
      </c>
      <c r="E35" t="s">
        <v>104</v>
      </c>
      <c r="F35" t="s">
        <v>139</v>
      </c>
      <c r="G35">
        <v>270</v>
      </c>
      <c r="H35" t="s">
        <v>62</v>
      </c>
      <c r="I35" t="s">
        <v>21</v>
      </c>
      <c r="J35" t="s">
        <v>101</v>
      </c>
      <c r="K35" s="4">
        <v>231.12</v>
      </c>
      <c r="L35" t="s">
        <v>170</v>
      </c>
      <c r="M35" s="1">
        <v>46813</v>
      </c>
      <c r="N35" t="s">
        <v>75</v>
      </c>
      <c r="O35" t="s">
        <v>33</v>
      </c>
    </row>
    <row r="36" spans="1:15" x14ac:dyDescent="0.25">
      <c r="A36" t="s">
        <v>171</v>
      </c>
      <c r="B36" t="s">
        <v>59</v>
      </c>
      <c r="C36">
        <v>1991</v>
      </c>
      <c r="D36" t="s">
        <v>36</v>
      </c>
      <c r="E36" t="s">
        <v>119</v>
      </c>
      <c r="F36" t="s">
        <v>172</v>
      </c>
      <c r="G36">
        <v>950</v>
      </c>
      <c r="H36" t="s">
        <v>56</v>
      </c>
      <c r="I36" t="s">
        <v>39</v>
      </c>
      <c r="J36" t="s">
        <v>101</v>
      </c>
      <c r="K36" s="4">
        <v>260.47000000000003</v>
      </c>
      <c r="L36" t="s">
        <v>173</v>
      </c>
      <c r="M36" s="1">
        <v>46842</v>
      </c>
      <c r="N36" t="s">
        <v>41</v>
      </c>
      <c r="O36" t="s">
        <v>33</v>
      </c>
    </row>
    <row r="37" spans="1:15" x14ac:dyDescent="0.25">
      <c r="A37" t="s">
        <v>174</v>
      </c>
      <c r="B37" t="s">
        <v>77</v>
      </c>
      <c r="C37">
        <v>2008</v>
      </c>
      <c r="D37" t="s">
        <v>27</v>
      </c>
      <c r="E37" t="s">
        <v>45</v>
      </c>
      <c r="F37" t="s">
        <v>175</v>
      </c>
      <c r="G37">
        <v>430</v>
      </c>
      <c r="H37" t="s">
        <v>85</v>
      </c>
      <c r="I37" t="s">
        <v>91</v>
      </c>
      <c r="J37" t="s">
        <v>63</v>
      </c>
      <c r="K37" s="4">
        <v>482.33</v>
      </c>
      <c r="L37" t="s">
        <v>176</v>
      </c>
      <c r="M37" s="1">
        <v>46348</v>
      </c>
      <c r="N37" t="s">
        <v>41</v>
      </c>
      <c r="O37" t="s">
        <v>25</v>
      </c>
    </row>
    <row r="38" spans="1:15" x14ac:dyDescent="0.25">
      <c r="A38" t="s">
        <v>177</v>
      </c>
      <c r="B38" t="s">
        <v>53</v>
      </c>
      <c r="C38">
        <v>2003</v>
      </c>
      <c r="D38" t="s">
        <v>89</v>
      </c>
      <c r="E38" t="s">
        <v>18</v>
      </c>
      <c r="F38" t="s">
        <v>162</v>
      </c>
      <c r="G38">
        <v>440</v>
      </c>
      <c r="H38" t="s">
        <v>85</v>
      </c>
      <c r="I38" t="s">
        <v>73</v>
      </c>
      <c r="J38" t="s">
        <v>49</v>
      </c>
      <c r="K38" s="4">
        <v>466.79</v>
      </c>
      <c r="L38" t="s">
        <v>178</v>
      </c>
      <c r="M38" s="1">
        <v>46603</v>
      </c>
      <c r="N38" t="s">
        <v>41</v>
      </c>
      <c r="O38" t="s">
        <v>51</v>
      </c>
    </row>
    <row r="39" spans="1:15" x14ac:dyDescent="0.25">
      <c r="A39" t="s">
        <v>179</v>
      </c>
      <c r="B39" t="s">
        <v>35</v>
      </c>
      <c r="C39">
        <v>1992</v>
      </c>
      <c r="D39" t="s">
        <v>89</v>
      </c>
      <c r="E39" t="s">
        <v>72</v>
      </c>
      <c r="F39" t="s">
        <v>180</v>
      </c>
      <c r="G39">
        <v>700</v>
      </c>
      <c r="H39" t="s">
        <v>38</v>
      </c>
      <c r="I39" t="s">
        <v>21</v>
      </c>
      <c r="J39" t="s">
        <v>49</v>
      </c>
      <c r="K39" s="4">
        <v>381.41</v>
      </c>
      <c r="L39" t="s">
        <v>181</v>
      </c>
      <c r="M39" s="1">
        <v>46323</v>
      </c>
      <c r="N39" t="s">
        <v>41</v>
      </c>
      <c r="O39" t="s">
        <v>51</v>
      </c>
    </row>
    <row r="40" spans="1:15" x14ac:dyDescent="0.25">
      <c r="A40" t="s">
        <v>182</v>
      </c>
      <c r="B40" t="s">
        <v>16</v>
      </c>
      <c r="C40">
        <v>2015</v>
      </c>
      <c r="D40" t="s">
        <v>36</v>
      </c>
      <c r="E40" t="s">
        <v>45</v>
      </c>
      <c r="F40" t="s">
        <v>105</v>
      </c>
      <c r="G40">
        <v>360</v>
      </c>
      <c r="H40" t="s">
        <v>85</v>
      </c>
      <c r="I40" t="s">
        <v>73</v>
      </c>
      <c r="J40" t="s">
        <v>92</v>
      </c>
      <c r="K40" s="4">
        <v>478.6</v>
      </c>
      <c r="L40" t="s">
        <v>183</v>
      </c>
      <c r="M40" s="1">
        <v>46582</v>
      </c>
      <c r="N40" t="s">
        <v>24</v>
      </c>
      <c r="O40" t="s">
        <v>25</v>
      </c>
    </row>
    <row r="41" spans="1:15" x14ac:dyDescent="0.25">
      <c r="A41" t="s">
        <v>184</v>
      </c>
      <c r="B41" t="s">
        <v>59</v>
      </c>
      <c r="C41">
        <v>1999</v>
      </c>
      <c r="D41" t="s">
        <v>17</v>
      </c>
      <c r="E41" t="s">
        <v>116</v>
      </c>
      <c r="F41" t="s">
        <v>185</v>
      </c>
      <c r="G41">
        <v>50</v>
      </c>
      <c r="H41" t="s">
        <v>85</v>
      </c>
      <c r="I41" t="s">
        <v>186</v>
      </c>
      <c r="J41" t="s">
        <v>22</v>
      </c>
      <c r="K41" s="4">
        <v>369.83</v>
      </c>
      <c r="L41" t="s">
        <v>187</v>
      </c>
      <c r="M41" s="1">
        <v>46762</v>
      </c>
      <c r="N41" t="s">
        <v>24</v>
      </c>
      <c r="O41" t="s">
        <v>51</v>
      </c>
    </row>
    <row r="42" spans="1:15" x14ac:dyDescent="0.25">
      <c r="A42" t="s">
        <v>188</v>
      </c>
      <c r="B42" t="s">
        <v>138</v>
      </c>
      <c r="C42">
        <v>2016</v>
      </c>
      <c r="D42" t="s">
        <v>108</v>
      </c>
      <c r="E42" t="s">
        <v>78</v>
      </c>
      <c r="F42" t="s">
        <v>189</v>
      </c>
      <c r="G42">
        <v>530</v>
      </c>
      <c r="H42" t="s">
        <v>56</v>
      </c>
      <c r="I42" t="s">
        <v>80</v>
      </c>
      <c r="J42" t="s">
        <v>101</v>
      </c>
      <c r="K42" s="4">
        <v>477.83</v>
      </c>
      <c r="L42" t="s">
        <v>190</v>
      </c>
      <c r="M42" s="1">
        <v>46042</v>
      </c>
      <c r="N42" t="s">
        <v>41</v>
      </c>
      <c r="O42" t="s">
        <v>51</v>
      </c>
    </row>
    <row r="43" spans="1:15" x14ac:dyDescent="0.25">
      <c r="A43" t="s">
        <v>191</v>
      </c>
      <c r="B43" t="s">
        <v>70</v>
      </c>
      <c r="C43">
        <v>2023</v>
      </c>
      <c r="D43" t="s">
        <v>66</v>
      </c>
      <c r="E43" t="s">
        <v>72</v>
      </c>
      <c r="F43" t="s">
        <v>192</v>
      </c>
      <c r="G43">
        <v>670</v>
      </c>
      <c r="H43" t="s">
        <v>85</v>
      </c>
      <c r="I43" t="s">
        <v>48</v>
      </c>
      <c r="J43" t="s">
        <v>49</v>
      </c>
      <c r="K43" s="4">
        <v>216.85</v>
      </c>
      <c r="L43" t="s">
        <v>193</v>
      </c>
      <c r="M43" s="1">
        <v>46507</v>
      </c>
      <c r="N43" t="s">
        <v>41</v>
      </c>
      <c r="O43" t="s">
        <v>33</v>
      </c>
    </row>
    <row r="44" spans="1:15" x14ac:dyDescent="0.25">
      <c r="A44" t="s">
        <v>194</v>
      </c>
      <c r="B44" t="s">
        <v>77</v>
      </c>
      <c r="C44">
        <v>2014</v>
      </c>
      <c r="D44" t="s">
        <v>89</v>
      </c>
      <c r="E44" t="s">
        <v>104</v>
      </c>
      <c r="F44" t="s">
        <v>195</v>
      </c>
      <c r="G44">
        <v>560</v>
      </c>
      <c r="H44" t="s">
        <v>38</v>
      </c>
      <c r="I44" t="s">
        <v>21</v>
      </c>
      <c r="J44" t="s">
        <v>49</v>
      </c>
      <c r="K44" s="4">
        <v>103.54</v>
      </c>
      <c r="L44" t="s">
        <v>196</v>
      </c>
      <c r="M44" s="1">
        <v>46075</v>
      </c>
      <c r="N44" t="s">
        <v>24</v>
      </c>
      <c r="O44" t="s">
        <v>51</v>
      </c>
    </row>
    <row r="45" spans="1:15" x14ac:dyDescent="0.25">
      <c r="A45" t="s">
        <v>197</v>
      </c>
      <c r="B45" t="s">
        <v>43</v>
      </c>
      <c r="C45">
        <v>2024</v>
      </c>
      <c r="D45" t="s">
        <v>36</v>
      </c>
      <c r="E45" t="s">
        <v>60</v>
      </c>
      <c r="F45" t="s">
        <v>198</v>
      </c>
      <c r="G45">
        <v>410</v>
      </c>
      <c r="H45" t="s">
        <v>62</v>
      </c>
      <c r="I45" t="s">
        <v>80</v>
      </c>
      <c r="J45" t="s">
        <v>31</v>
      </c>
      <c r="K45" s="4">
        <v>479.84</v>
      </c>
      <c r="L45" t="s">
        <v>199</v>
      </c>
      <c r="M45" s="1">
        <v>46906</v>
      </c>
      <c r="N45" t="s">
        <v>75</v>
      </c>
      <c r="O45" t="s">
        <v>25</v>
      </c>
    </row>
    <row r="46" spans="1:15" x14ac:dyDescent="0.25">
      <c r="A46" t="s">
        <v>200</v>
      </c>
      <c r="B46" t="s">
        <v>134</v>
      </c>
      <c r="C46">
        <v>1996</v>
      </c>
      <c r="D46" t="s">
        <v>95</v>
      </c>
      <c r="E46" t="s">
        <v>104</v>
      </c>
      <c r="F46" t="s">
        <v>180</v>
      </c>
      <c r="G46">
        <v>380</v>
      </c>
      <c r="H46" t="s">
        <v>38</v>
      </c>
      <c r="I46" t="s">
        <v>80</v>
      </c>
      <c r="J46" t="s">
        <v>110</v>
      </c>
      <c r="K46" s="4">
        <v>157.69999999999999</v>
      </c>
      <c r="L46" t="s">
        <v>201</v>
      </c>
      <c r="M46" s="1">
        <v>46239</v>
      </c>
      <c r="N46" t="s">
        <v>75</v>
      </c>
      <c r="O46" t="s">
        <v>33</v>
      </c>
    </row>
    <row r="47" spans="1:15" x14ac:dyDescent="0.25">
      <c r="A47" t="s">
        <v>202</v>
      </c>
      <c r="B47" t="s">
        <v>98</v>
      </c>
      <c r="C47">
        <v>1990</v>
      </c>
      <c r="D47" t="s">
        <v>95</v>
      </c>
      <c r="E47" t="s">
        <v>104</v>
      </c>
      <c r="F47" t="s">
        <v>180</v>
      </c>
      <c r="G47">
        <v>470</v>
      </c>
      <c r="H47" t="s">
        <v>29</v>
      </c>
      <c r="I47" t="s">
        <v>21</v>
      </c>
      <c r="J47" t="s">
        <v>110</v>
      </c>
      <c r="K47" s="4">
        <v>11.89</v>
      </c>
      <c r="L47" t="s">
        <v>203</v>
      </c>
      <c r="M47" s="1">
        <v>46709</v>
      </c>
      <c r="N47" t="s">
        <v>75</v>
      </c>
      <c r="O47" t="s">
        <v>25</v>
      </c>
    </row>
    <row r="48" spans="1:15" x14ac:dyDescent="0.25">
      <c r="A48" t="s">
        <v>204</v>
      </c>
      <c r="B48" t="s">
        <v>35</v>
      </c>
      <c r="C48">
        <v>1996</v>
      </c>
      <c r="D48" t="s">
        <v>44</v>
      </c>
      <c r="E48" t="s">
        <v>60</v>
      </c>
      <c r="F48" t="s">
        <v>205</v>
      </c>
      <c r="G48">
        <v>750</v>
      </c>
      <c r="H48" t="s">
        <v>47</v>
      </c>
      <c r="I48" t="s">
        <v>21</v>
      </c>
      <c r="J48" t="s">
        <v>22</v>
      </c>
      <c r="K48" s="4">
        <v>162.80000000000001</v>
      </c>
      <c r="L48" t="s">
        <v>206</v>
      </c>
      <c r="M48" s="1">
        <v>46148</v>
      </c>
      <c r="N48" t="s">
        <v>24</v>
      </c>
      <c r="O48" t="s">
        <v>25</v>
      </c>
    </row>
    <row r="49" spans="1:15" x14ac:dyDescent="0.25">
      <c r="A49" t="s">
        <v>207</v>
      </c>
      <c r="B49" t="s">
        <v>138</v>
      </c>
      <c r="C49">
        <v>1993</v>
      </c>
      <c r="D49" t="s">
        <v>66</v>
      </c>
      <c r="E49" t="s">
        <v>104</v>
      </c>
      <c r="F49" t="s">
        <v>208</v>
      </c>
      <c r="G49">
        <v>150</v>
      </c>
      <c r="H49" t="s">
        <v>38</v>
      </c>
      <c r="I49" t="s">
        <v>186</v>
      </c>
      <c r="J49" t="s">
        <v>92</v>
      </c>
      <c r="K49" s="4">
        <v>144.51</v>
      </c>
      <c r="L49" t="s">
        <v>209</v>
      </c>
      <c r="M49" s="1">
        <v>46096</v>
      </c>
      <c r="N49" t="s">
        <v>41</v>
      </c>
      <c r="O49" t="s">
        <v>25</v>
      </c>
    </row>
    <row r="50" spans="1:15" x14ac:dyDescent="0.25">
      <c r="A50" t="s">
        <v>210</v>
      </c>
      <c r="B50" t="s">
        <v>70</v>
      </c>
      <c r="C50">
        <v>2012</v>
      </c>
      <c r="D50" t="s">
        <v>108</v>
      </c>
      <c r="E50" t="s">
        <v>119</v>
      </c>
      <c r="F50" t="s">
        <v>211</v>
      </c>
      <c r="G50">
        <v>250</v>
      </c>
      <c r="H50" t="s">
        <v>20</v>
      </c>
      <c r="I50" t="s">
        <v>151</v>
      </c>
      <c r="J50" t="s">
        <v>49</v>
      </c>
      <c r="K50" s="4">
        <v>149.25</v>
      </c>
      <c r="L50" t="s">
        <v>212</v>
      </c>
      <c r="M50" s="1">
        <v>46722</v>
      </c>
      <c r="N50" t="s">
        <v>24</v>
      </c>
      <c r="O50" t="s">
        <v>51</v>
      </c>
    </row>
    <row r="51" spans="1:15" x14ac:dyDescent="0.25">
      <c r="A51" t="s">
        <v>213</v>
      </c>
      <c r="B51" t="s">
        <v>77</v>
      </c>
      <c r="C51">
        <v>2022</v>
      </c>
      <c r="D51" t="s">
        <v>83</v>
      </c>
      <c r="E51" t="s">
        <v>99</v>
      </c>
      <c r="F51" t="s">
        <v>214</v>
      </c>
      <c r="G51">
        <v>450</v>
      </c>
      <c r="H51" t="s">
        <v>85</v>
      </c>
      <c r="I51" t="s">
        <v>91</v>
      </c>
      <c r="J51" t="s">
        <v>110</v>
      </c>
      <c r="K51" s="4">
        <v>446.13</v>
      </c>
      <c r="L51" t="s">
        <v>215</v>
      </c>
      <c r="M51" s="1">
        <v>46392</v>
      </c>
      <c r="N51" t="s">
        <v>75</v>
      </c>
      <c r="O51" t="s">
        <v>51</v>
      </c>
    </row>
    <row r="52" spans="1:15" x14ac:dyDescent="0.25">
      <c r="A52" t="s">
        <v>216</v>
      </c>
      <c r="B52" t="s">
        <v>98</v>
      </c>
      <c r="C52">
        <v>2003</v>
      </c>
      <c r="D52" t="s">
        <v>66</v>
      </c>
      <c r="E52" t="s">
        <v>60</v>
      </c>
      <c r="F52" t="s">
        <v>217</v>
      </c>
      <c r="G52">
        <v>960</v>
      </c>
      <c r="H52" t="s">
        <v>62</v>
      </c>
      <c r="I52" t="s">
        <v>80</v>
      </c>
      <c r="J52" t="s">
        <v>125</v>
      </c>
      <c r="K52" s="4">
        <v>138.44999999999999</v>
      </c>
      <c r="L52" t="s">
        <v>218</v>
      </c>
      <c r="M52" s="1">
        <v>45890</v>
      </c>
      <c r="N52" t="s">
        <v>41</v>
      </c>
      <c r="O52" t="s">
        <v>25</v>
      </c>
    </row>
    <row r="53" spans="1:15" x14ac:dyDescent="0.25">
      <c r="A53" t="s">
        <v>219</v>
      </c>
      <c r="B53" t="s">
        <v>53</v>
      </c>
      <c r="C53">
        <v>2005</v>
      </c>
      <c r="D53" t="s">
        <v>95</v>
      </c>
      <c r="E53" t="s">
        <v>72</v>
      </c>
      <c r="F53" t="s">
        <v>220</v>
      </c>
      <c r="G53">
        <v>290</v>
      </c>
      <c r="H53" t="s">
        <v>38</v>
      </c>
      <c r="I53" t="s">
        <v>86</v>
      </c>
      <c r="J53" t="s">
        <v>146</v>
      </c>
      <c r="K53" s="4">
        <v>248.06</v>
      </c>
      <c r="L53" t="s">
        <v>221</v>
      </c>
      <c r="M53" s="1">
        <v>46341</v>
      </c>
      <c r="N53" t="s">
        <v>75</v>
      </c>
      <c r="O53" t="s">
        <v>51</v>
      </c>
    </row>
    <row r="54" spans="1:15" x14ac:dyDescent="0.25">
      <c r="A54" t="s">
        <v>222</v>
      </c>
      <c r="B54" t="s">
        <v>98</v>
      </c>
      <c r="C54">
        <v>2002</v>
      </c>
      <c r="D54" t="s">
        <v>108</v>
      </c>
      <c r="E54" t="s">
        <v>119</v>
      </c>
      <c r="F54" t="s">
        <v>223</v>
      </c>
      <c r="G54">
        <v>160</v>
      </c>
      <c r="H54" t="s">
        <v>20</v>
      </c>
      <c r="I54" t="s">
        <v>186</v>
      </c>
      <c r="J54" t="s">
        <v>121</v>
      </c>
      <c r="K54" s="4">
        <v>434.49</v>
      </c>
      <c r="L54" t="s">
        <v>224</v>
      </c>
      <c r="M54" s="1">
        <v>46594</v>
      </c>
      <c r="N54" t="s">
        <v>24</v>
      </c>
      <c r="O54" t="s">
        <v>51</v>
      </c>
    </row>
    <row r="55" spans="1:15" x14ac:dyDescent="0.25">
      <c r="A55" t="s">
        <v>225</v>
      </c>
      <c r="B55" t="s">
        <v>43</v>
      </c>
      <c r="C55">
        <v>1995</v>
      </c>
      <c r="D55" t="s">
        <v>71</v>
      </c>
      <c r="E55" t="s">
        <v>99</v>
      </c>
      <c r="F55" t="s">
        <v>226</v>
      </c>
      <c r="G55">
        <v>530</v>
      </c>
      <c r="H55" t="s">
        <v>20</v>
      </c>
      <c r="I55" t="s">
        <v>73</v>
      </c>
      <c r="J55" t="s">
        <v>92</v>
      </c>
      <c r="K55" s="4">
        <v>71.7</v>
      </c>
      <c r="L55" t="s">
        <v>227</v>
      </c>
      <c r="M55" s="1">
        <v>46831</v>
      </c>
      <c r="N55" t="s">
        <v>24</v>
      </c>
      <c r="O55" t="s">
        <v>25</v>
      </c>
    </row>
    <row r="56" spans="1:15" x14ac:dyDescent="0.25">
      <c r="A56" t="s">
        <v>228</v>
      </c>
      <c r="B56" t="s">
        <v>59</v>
      </c>
      <c r="C56">
        <v>2024</v>
      </c>
      <c r="D56" t="s">
        <v>83</v>
      </c>
      <c r="E56" t="s">
        <v>72</v>
      </c>
      <c r="F56" t="s">
        <v>79</v>
      </c>
      <c r="G56">
        <v>210</v>
      </c>
      <c r="H56" t="s">
        <v>47</v>
      </c>
      <c r="I56" t="s">
        <v>73</v>
      </c>
      <c r="J56" t="s">
        <v>22</v>
      </c>
      <c r="K56" s="4">
        <v>209.75</v>
      </c>
      <c r="L56" t="s">
        <v>229</v>
      </c>
      <c r="M56" s="1">
        <v>46335</v>
      </c>
      <c r="N56" t="s">
        <v>75</v>
      </c>
      <c r="O56" t="s">
        <v>33</v>
      </c>
    </row>
    <row r="57" spans="1:15" x14ac:dyDescent="0.25">
      <c r="A57" t="s">
        <v>230</v>
      </c>
      <c r="B57" t="s">
        <v>134</v>
      </c>
      <c r="C57">
        <v>1992</v>
      </c>
      <c r="D57" t="s">
        <v>27</v>
      </c>
      <c r="E57" t="s">
        <v>54</v>
      </c>
      <c r="F57" t="s">
        <v>231</v>
      </c>
      <c r="G57">
        <v>990</v>
      </c>
      <c r="H57" t="s">
        <v>62</v>
      </c>
      <c r="I57" t="s">
        <v>39</v>
      </c>
      <c r="J57" t="s">
        <v>146</v>
      </c>
      <c r="K57" s="4">
        <v>324.58999999999997</v>
      </c>
      <c r="L57" t="s">
        <v>232</v>
      </c>
      <c r="M57" s="1">
        <v>46553</v>
      </c>
      <c r="N57" t="s">
        <v>41</v>
      </c>
      <c r="O57" t="s">
        <v>25</v>
      </c>
    </row>
    <row r="58" spans="1:15" x14ac:dyDescent="0.25">
      <c r="A58" t="s">
        <v>233</v>
      </c>
      <c r="B58" t="s">
        <v>134</v>
      </c>
      <c r="C58">
        <v>2009</v>
      </c>
      <c r="D58" t="s">
        <v>17</v>
      </c>
      <c r="E58" t="s">
        <v>45</v>
      </c>
      <c r="F58" t="s">
        <v>124</v>
      </c>
      <c r="G58">
        <v>120</v>
      </c>
      <c r="H58" t="s">
        <v>38</v>
      </c>
      <c r="I58" t="s">
        <v>186</v>
      </c>
      <c r="J58" t="s">
        <v>121</v>
      </c>
      <c r="K58" s="4">
        <v>41.95</v>
      </c>
      <c r="L58" t="s">
        <v>234</v>
      </c>
      <c r="M58" s="1">
        <v>46393</v>
      </c>
      <c r="N58" t="s">
        <v>24</v>
      </c>
      <c r="O58" t="s">
        <v>51</v>
      </c>
    </row>
    <row r="59" spans="1:15" x14ac:dyDescent="0.25">
      <c r="A59" t="s">
        <v>235</v>
      </c>
      <c r="B59" t="s">
        <v>35</v>
      </c>
      <c r="C59">
        <v>2008</v>
      </c>
      <c r="D59" t="s">
        <v>66</v>
      </c>
      <c r="E59" t="s">
        <v>72</v>
      </c>
      <c r="F59" t="s">
        <v>236</v>
      </c>
      <c r="G59">
        <v>370</v>
      </c>
      <c r="H59" t="s">
        <v>56</v>
      </c>
      <c r="I59" t="s">
        <v>21</v>
      </c>
      <c r="J59" t="s">
        <v>63</v>
      </c>
      <c r="K59" s="4">
        <v>283.08</v>
      </c>
      <c r="L59" t="s">
        <v>237</v>
      </c>
      <c r="M59" s="1">
        <v>46021</v>
      </c>
      <c r="N59" t="s">
        <v>41</v>
      </c>
      <c r="O59" t="s">
        <v>51</v>
      </c>
    </row>
    <row r="60" spans="1:15" x14ac:dyDescent="0.25">
      <c r="A60" t="s">
        <v>238</v>
      </c>
      <c r="B60" t="s">
        <v>134</v>
      </c>
      <c r="C60">
        <v>1996</v>
      </c>
      <c r="D60" t="s">
        <v>71</v>
      </c>
      <c r="E60" t="s">
        <v>104</v>
      </c>
      <c r="F60" t="s">
        <v>67</v>
      </c>
      <c r="G60">
        <v>970</v>
      </c>
      <c r="H60" t="s">
        <v>29</v>
      </c>
      <c r="I60" t="s">
        <v>39</v>
      </c>
      <c r="J60" t="s">
        <v>22</v>
      </c>
      <c r="K60" s="4">
        <v>436.87</v>
      </c>
      <c r="L60" t="s">
        <v>239</v>
      </c>
      <c r="M60" s="1">
        <v>46481</v>
      </c>
      <c r="N60" t="s">
        <v>41</v>
      </c>
      <c r="O60" t="s">
        <v>51</v>
      </c>
    </row>
    <row r="61" spans="1:15" x14ac:dyDescent="0.25">
      <c r="A61" t="s">
        <v>240</v>
      </c>
      <c r="B61" t="s">
        <v>43</v>
      </c>
      <c r="C61">
        <v>1998</v>
      </c>
      <c r="D61" t="s">
        <v>83</v>
      </c>
      <c r="E61" t="s">
        <v>99</v>
      </c>
      <c r="F61" t="s">
        <v>241</v>
      </c>
      <c r="G61">
        <v>20</v>
      </c>
      <c r="H61" t="s">
        <v>29</v>
      </c>
      <c r="I61" t="s">
        <v>151</v>
      </c>
      <c r="J61" t="s">
        <v>110</v>
      </c>
      <c r="K61" s="4">
        <v>352.19</v>
      </c>
      <c r="L61" t="s">
        <v>242</v>
      </c>
      <c r="M61" s="1">
        <v>46775</v>
      </c>
      <c r="N61" t="s">
        <v>24</v>
      </c>
      <c r="O61" t="s">
        <v>25</v>
      </c>
    </row>
    <row r="62" spans="1:15" x14ac:dyDescent="0.25">
      <c r="A62" t="s">
        <v>243</v>
      </c>
      <c r="B62" t="s">
        <v>138</v>
      </c>
      <c r="C62">
        <v>2000</v>
      </c>
      <c r="D62" t="s">
        <v>66</v>
      </c>
      <c r="E62" t="s">
        <v>54</v>
      </c>
      <c r="F62" t="s">
        <v>244</v>
      </c>
      <c r="G62">
        <v>370</v>
      </c>
      <c r="H62" t="s">
        <v>38</v>
      </c>
      <c r="I62" t="s">
        <v>186</v>
      </c>
      <c r="J62" t="s">
        <v>125</v>
      </c>
      <c r="K62" s="4">
        <v>434.74</v>
      </c>
      <c r="L62" t="s">
        <v>245</v>
      </c>
      <c r="M62" s="1">
        <v>45983</v>
      </c>
      <c r="N62" t="s">
        <v>24</v>
      </c>
      <c r="O62" t="s">
        <v>33</v>
      </c>
    </row>
    <row r="63" spans="1:15" x14ac:dyDescent="0.25">
      <c r="A63" t="s">
        <v>246</v>
      </c>
      <c r="B63" t="s">
        <v>77</v>
      </c>
      <c r="C63">
        <v>2013</v>
      </c>
      <c r="D63" t="s">
        <v>108</v>
      </c>
      <c r="E63" t="s">
        <v>60</v>
      </c>
      <c r="F63" t="s">
        <v>247</v>
      </c>
      <c r="G63">
        <v>490</v>
      </c>
      <c r="H63" t="s">
        <v>38</v>
      </c>
      <c r="I63" t="s">
        <v>151</v>
      </c>
      <c r="J63" t="s">
        <v>31</v>
      </c>
      <c r="K63" s="4">
        <v>478.97</v>
      </c>
      <c r="L63" t="s">
        <v>248</v>
      </c>
      <c r="M63" s="1">
        <v>46443</v>
      </c>
      <c r="N63" t="s">
        <v>41</v>
      </c>
      <c r="O63" t="s">
        <v>33</v>
      </c>
    </row>
    <row r="64" spans="1:15" x14ac:dyDescent="0.25">
      <c r="A64" t="s">
        <v>249</v>
      </c>
      <c r="B64" t="s">
        <v>43</v>
      </c>
      <c r="C64">
        <v>1993</v>
      </c>
      <c r="D64" t="s">
        <v>17</v>
      </c>
      <c r="E64" t="s">
        <v>45</v>
      </c>
      <c r="F64" t="s">
        <v>250</v>
      </c>
      <c r="G64">
        <v>200</v>
      </c>
      <c r="H64" t="s">
        <v>85</v>
      </c>
      <c r="I64" t="s">
        <v>91</v>
      </c>
      <c r="J64" t="s">
        <v>31</v>
      </c>
      <c r="K64" s="4">
        <v>383.55</v>
      </c>
      <c r="L64" t="s">
        <v>251</v>
      </c>
      <c r="M64" s="1">
        <v>45930</v>
      </c>
      <c r="N64" t="s">
        <v>24</v>
      </c>
      <c r="O64" t="s">
        <v>25</v>
      </c>
    </row>
    <row r="65" spans="1:15" x14ac:dyDescent="0.25">
      <c r="A65" t="s">
        <v>182</v>
      </c>
      <c r="B65" t="s">
        <v>43</v>
      </c>
      <c r="C65">
        <v>2009</v>
      </c>
      <c r="D65" t="s">
        <v>108</v>
      </c>
      <c r="E65" t="s">
        <v>45</v>
      </c>
      <c r="F65" t="s">
        <v>252</v>
      </c>
      <c r="G65">
        <v>620</v>
      </c>
      <c r="H65" t="s">
        <v>62</v>
      </c>
      <c r="I65" t="s">
        <v>73</v>
      </c>
      <c r="J65" t="s">
        <v>146</v>
      </c>
      <c r="K65" s="4">
        <v>357.15</v>
      </c>
      <c r="L65" t="s">
        <v>253</v>
      </c>
      <c r="M65" s="1">
        <v>46063</v>
      </c>
      <c r="N65" t="s">
        <v>75</v>
      </c>
      <c r="O65" t="s">
        <v>25</v>
      </c>
    </row>
    <row r="66" spans="1:15" x14ac:dyDescent="0.25">
      <c r="A66" t="s">
        <v>254</v>
      </c>
      <c r="B66" t="s">
        <v>59</v>
      </c>
      <c r="C66">
        <v>2016</v>
      </c>
      <c r="D66" t="s">
        <v>27</v>
      </c>
      <c r="E66" t="s">
        <v>18</v>
      </c>
      <c r="F66" t="s">
        <v>255</v>
      </c>
      <c r="G66">
        <v>360</v>
      </c>
      <c r="H66" t="s">
        <v>47</v>
      </c>
      <c r="I66" t="s">
        <v>91</v>
      </c>
      <c r="J66" t="s">
        <v>125</v>
      </c>
      <c r="K66" s="4">
        <v>11.79</v>
      </c>
      <c r="L66" t="s">
        <v>256</v>
      </c>
      <c r="M66" s="1">
        <v>46723</v>
      </c>
      <c r="N66" t="s">
        <v>24</v>
      </c>
      <c r="O66" t="s">
        <v>25</v>
      </c>
    </row>
    <row r="67" spans="1:15" x14ac:dyDescent="0.25">
      <c r="A67" t="s">
        <v>257</v>
      </c>
      <c r="B67" t="s">
        <v>16</v>
      </c>
      <c r="C67">
        <v>2016</v>
      </c>
      <c r="D67" t="s">
        <v>95</v>
      </c>
      <c r="E67" t="s">
        <v>18</v>
      </c>
      <c r="F67" t="s">
        <v>258</v>
      </c>
      <c r="G67">
        <v>450</v>
      </c>
      <c r="H67" t="s">
        <v>20</v>
      </c>
      <c r="I67" t="s">
        <v>91</v>
      </c>
      <c r="J67" t="s">
        <v>101</v>
      </c>
      <c r="K67" s="4">
        <v>215.37</v>
      </c>
      <c r="L67" t="s">
        <v>259</v>
      </c>
      <c r="M67" s="1">
        <v>46925</v>
      </c>
      <c r="N67" t="s">
        <v>75</v>
      </c>
      <c r="O67" t="s">
        <v>33</v>
      </c>
    </row>
    <row r="68" spans="1:15" x14ac:dyDescent="0.25">
      <c r="A68" t="s">
        <v>260</v>
      </c>
      <c r="B68" t="s">
        <v>70</v>
      </c>
      <c r="C68">
        <v>2011</v>
      </c>
      <c r="D68" t="s">
        <v>108</v>
      </c>
      <c r="E68" t="s">
        <v>72</v>
      </c>
      <c r="F68" t="s">
        <v>261</v>
      </c>
      <c r="G68">
        <v>350</v>
      </c>
      <c r="H68" t="s">
        <v>56</v>
      </c>
      <c r="I68" t="s">
        <v>91</v>
      </c>
      <c r="J68" t="s">
        <v>110</v>
      </c>
      <c r="K68" s="4">
        <v>310.20999999999998</v>
      </c>
      <c r="L68" t="s">
        <v>262</v>
      </c>
      <c r="M68" s="1">
        <v>46419</v>
      </c>
      <c r="N68" t="s">
        <v>75</v>
      </c>
      <c r="O68" t="s">
        <v>25</v>
      </c>
    </row>
    <row r="69" spans="1:15" x14ac:dyDescent="0.25">
      <c r="A69" t="s">
        <v>263</v>
      </c>
      <c r="B69" t="s">
        <v>16</v>
      </c>
      <c r="C69">
        <v>2002</v>
      </c>
      <c r="D69" t="s">
        <v>95</v>
      </c>
      <c r="E69" t="s">
        <v>72</v>
      </c>
      <c r="F69" t="s">
        <v>264</v>
      </c>
      <c r="G69">
        <v>70</v>
      </c>
      <c r="H69" t="s">
        <v>20</v>
      </c>
      <c r="I69" t="s">
        <v>80</v>
      </c>
      <c r="J69" t="s">
        <v>101</v>
      </c>
      <c r="K69" s="4">
        <v>450.09</v>
      </c>
      <c r="L69" t="s">
        <v>265</v>
      </c>
      <c r="M69" s="1">
        <v>45999</v>
      </c>
      <c r="N69" t="s">
        <v>24</v>
      </c>
      <c r="O69" t="s">
        <v>33</v>
      </c>
    </row>
    <row r="70" spans="1:15" x14ac:dyDescent="0.25">
      <c r="A70" t="s">
        <v>266</v>
      </c>
      <c r="B70" t="s">
        <v>70</v>
      </c>
      <c r="C70">
        <v>2008</v>
      </c>
      <c r="D70" t="s">
        <v>44</v>
      </c>
      <c r="E70" t="s">
        <v>99</v>
      </c>
      <c r="F70" t="s">
        <v>267</v>
      </c>
      <c r="G70">
        <v>260</v>
      </c>
      <c r="H70" t="s">
        <v>85</v>
      </c>
      <c r="I70" t="s">
        <v>91</v>
      </c>
      <c r="J70" t="s">
        <v>63</v>
      </c>
      <c r="K70" s="4">
        <v>326.32</v>
      </c>
      <c r="L70" t="s">
        <v>268</v>
      </c>
      <c r="M70" s="1">
        <v>46144</v>
      </c>
      <c r="N70" t="s">
        <v>24</v>
      </c>
      <c r="O70" t="s">
        <v>25</v>
      </c>
    </row>
    <row r="71" spans="1:15" x14ac:dyDescent="0.25">
      <c r="A71" t="s">
        <v>269</v>
      </c>
      <c r="B71" t="s">
        <v>98</v>
      </c>
      <c r="C71">
        <v>1990</v>
      </c>
      <c r="D71" t="s">
        <v>71</v>
      </c>
      <c r="E71" t="s">
        <v>99</v>
      </c>
      <c r="F71" t="s">
        <v>270</v>
      </c>
      <c r="G71">
        <v>30</v>
      </c>
      <c r="H71" t="s">
        <v>85</v>
      </c>
      <c r="I71" t="s">
        <v>80</v>
      </c>
      <c r="J71" t="s">
        <v>49</v>
      </c>
      <c r="K71" s="4">
        <v>352.02</v>
      </c>
      <c r="L71" t="s">
        <v>271</v>
      </c>
      <c r="M71" s="1">
        <v>45989</v>
      </c>
      <c r="N71" t="s">
        <v>41</v>
      </c>
      <c r="O71" t="s">
        <v>33</v>
      </c>
    </row>
    <row r="72" spans="1:15" x14ac:dyDescent="0.25">
      <c r="A72" t="s">
        <v>272</v>
      </c>
      <c r="B72" t="s">
        <v>59</v>
      </c>
      <c r="C72">
        <v>2023</v>
      </c>
      <c r="D72" t="s">
        <v>89</v>
      </c>
      <c r="E72" t="s">
        <v>99</v>
      </c>
      <c r="F72" t="s">
        <v>273</v>
      </c>
      <c r="G72">
        <v>440</v>
      </c>
      <c r="H72" t="s">
        <v>47</v>
      </c>
      <c r="I72" t="s">
        <v>30</v>
      </c>
      <c r="J72" t="s">
        <v>110</v>
      </c>
      <c r="K72" s="4">
        <v>246.8</v>
      </c>
      <c r="L72" t="s">
        <v>274</v>
      </c>
      <c r="M72" s="1">
        <v>46823</v>
      </c>
      <c r="N72" t="s">
        <v>41</v>
      </c>
      <c r="O72" t="s">
        <v>51</v>
      </c>
    </row>
    <row r="73" spans="1:15" x14ac:dyDescent="0.25">
      <c r="A73" t="s">
        <v>275</v>
      </c>
      <c r="B73" t="s">
        <v>43</v>
      </c>
      <c r="C73">
        <v>2024</v>
      </c>
      <c r="D73" t="s">
        <v>89</v>
      </c>
      <c r="E73" t="s">
        <v>45</v>
      </c>
      <c r="F73" t="s">
        <v>276</v>
      </c>
      <c r="G73">
        <v>930</v>
      </c>
      <c r="H73" t="s">
        <v>85</v>
      </c>
      <c r="I73" t="s">
        <v>30</v>
      </c>
      <c r="J73" t="s">
        <v>101</v>
      </c>
      <c r="K73" s="4">
        <v>472.37</v>
      </c>
      <c r="L73" t="s">
        <v>277</v>
      </c>
      <c r="M73" s="1">
        <v>46659</v>
      </c>
      <c r="N73" t="s">
        <v>41</v>
      </c>
      <c r="O73" t="s">
        <v>51</v>
      </c>
    </row>
    <row r="74" spans="1:15" x14ac:dyDescent="0.25">
      <c r="A74" t="s">
        <v>278</v>
      </c>
      <c r="B74" t="s">
        <v>77</v>
      </c>
      <c r="C74">
        <v>2019</v>
      </c>
      <c r="D74" t="s">
        <v>83</v>
      </c>
      <c r="E74" t="s">
        <v>99</v>
      </c>
      <c r="F74" t="s">
        <v>279</v>
      </c>
      <c r="G74">
        <v>510</v>
      </c>
      <c r="H74" t="s">
        <v>38</v>
      </c>
      <c r="I74" t="s">
        <v>48</v>
      </c>
      <c r="J74" t="s">
        <v>49</v>
      </c>
      <c r="K74" s="4">
        <v>292.12</v>
      </c>
      <c r="L74" t="s">
        <v>280</v>
      </c>
      <c r="M74" s="1">
        <v>46063</v>
      </c>
      <c r="N74" t="s">
        <v>24</v>
      </c>
      <c r="O74" t="s">
        <v>25</v>
      </c>
    </row>
    <row r="75" spans="1:15" x14ac:dyDescent="0.25">
      <c r="A75" t="s">
        <v>281</v>
      </c>
      <c r="B75" t="s">
        <v>53</v>
      </c>
      <c r="C75">
        <v>2005</v>
      </c>
      <c r="D75" t="s">
        <v>36</v>
      </c>
      <c r="E75" t="s">
        <v>54</v>
      </c>
      <c r="F75" t="s">
        <v>124</v>
      </c>
      <c r="G75">
        <v>420</v>
      </c>
      <c r="H75" t="s">
        <v>85</v>
      </c>
      <c r="I75" t="s">
        <v>30</v>
      </c>
      <c r="J75" t="s">
        <v>22</v>
      </c>
      <c r="K75" s="4">
        <v>329.34</v>
      </c>
      <c r="L75" t="s">
        <v>282</v>
      </c>
      <c r="M75" s="1">
        <v>46767</v>
      </c>
      <c r="N75" t="s">
        <v>41</v>
      </c>
      <c r="O75" t="s">
        <v>25</v>
      </c>
    </row>
    <row r="76" spans="1:15" x14ac:dyDescent="0.25">
      <c r="A76" t="s">
        <v>283</v>
      </c>
      <c r="B76" t="s">
        <v>138</v>
      </c>
      <c r="C76">
        <v>2012</v>
      </c>
      <c r="D76" t="s">
        <v>17</v>
      </c>
      <c r="E76" t="s">
        <v>45</v>
      </c>
      <c r="F76" t="s">
        <v>244</v>
      </c>
      <c r="G76">
        <v>210</v>
      </c>
      <c r="H76" t="s">
        <v>85</v>
      </c>
      <c r="I76" t="s">
        <v>21</v>
      </c>
      <c r="J76" t="s">
        <v>101</v>
      </c>
      <c r="K76" s="4">
        <v>45.65</v>
      </c>
      <c r="L76" t="s">
        <v>284</v>
      </c>
      <c r="M76" s="1">
        <v>46844</v>
      </c>
      <c r="N76" t="s">
        <v>75</v>
      </c>
      <c r="O76" t="s">
        <v>33</v>
      </c>
    </row>
    <row r="77" spans="1:15" x14ac:dyDescent="0.25">
      <c r="A77" t="s">
        <v>285</v>
      </c>
      <c r="B77" t="s">
        <v>43</v>
      </c>
      <c r="C77">
        <v>2017</v>
      </c>
      <c r="D77" t="s">
        <v>83</v>
      </c>
      <c r="E77" t="s">
        <v>78</v>
      </c>
      <c r="F77" t="s">
        <v>286</v>
      </c>
      <c r="G77">
        <v>520</v>
      </c>
      <c r="H77" t="s">
        <v>47</v>
      </c>
      <c r="I77" t="s">
        <v>30</v>
      </c>
      <c r="J77" t="s">
        <v>110</v>
      </c>
      <c r="K77" s="4">
        <v>194.6</v>
      </c>
      <c r="L77" t="s">
        <v>287</v>
      </c>
      <c r="M77" s="1">
        <v>46521</v>
      </c>
      <c r="N77" t="s">
        <v>41</v>
      </c>
      <c r="O77" t="s">
        <v>33</v>
      </c>
    </row>
    <row r="78" spans="1:15" x14ac:dyDescent="0.25">
      <c r="A78" t="s">
        <v>288</v>
      </c>
      <c r="B78" t="s">
        <v>77</v>
      </c>
      <c r="C78">
        <v>2005</v>
      </c>
      <c r="D78" t="s">
        <v>108</v>
      </c>
      <c r="E78" t="s">
        <v>72</v>
      </c>
      <c r="F78" t="s">
        <v>250</v>
      </c>
      <c r="G78">
        <v>300</v>
      </c>
      <c r="H78" t="s">
        <v>85</v>
      </c>
      <c r="I78" t="s">
        <v>21</v>
      </c>
      <c r="J78" t="s">
        <v>146</v>
      </c>
      <c r="K78" s="4">
        <v>353.68</v>
      </c>
      <c r="L78" t="s">
        <v>289</v>
      </c>
      <c r="M78" s="1">
        <v>46636</v>
      </c>
      <c r="N78" t="s">
        <v>24</v>
      </c>
      <c r="O78" t="s">
        <v>51</v>
      </c>
    </row>
    <row r="79" spans="1:15" x14ac:dyDescent="0.25">
      <c r="A79" t="s">
        <v>290</v>
      </c>
      <c r="B79" t="s">
        <v>98</v>
      </c>
      <c r="C79">
        <v>2000</v>
      </c>
      <c r="D79" t="s">
        <v>27</v>
      </c>
      <c r="E79" t="s">
        <v>72</v>
      </c>
      <c r="F79" t="s">
        <v>145</v>
      </c>
      <c r="G79">
        <v>390</v>
      </c>
      <c r="H79" t="s">
        <v>62</v>
      </c>
      <c r="I79" t="s">
        <v>186</v>
      </c>
      <c r="J79" t="s">
        <v>63</v>
      </c>
      <c r="K79" s="4">
        <v>325.5</v>
      </c>
      <c r="L79" t="s">
        <v>291</v>
      </c>
      <c r="M79" s="1">
        <v>45968</v>
      </c>
      <c r="N79" t="s">
        <v>24</v>
      </c>
      <c r="O79" t="s">
        <v>51</v>
      </c>
    </row>
    <row r="80" spans="1:15" x14ac:dyDescent="0.25">
      <c r="A80" t="s">
        <v>292</v>
      </c>
      <c r="B80" t="s">
        <v>70</v>
      </c>
      <c r="C80">
        <v>2008</v>
      </c>
      <c r="D80" t="s">
        <v>89</v>
      </c>
      <c r="E80" t="s">
        <v>72</v>
      </c>
      <c r="F80" t="s">
        <v>293</v>
      </c>
      <c r="G80">
        <v>20</v>
      </c>
      <c r="H80" t="s">
        <v>56</v>
      </c>
      <c r="I80" t="s">
        <v>86</v>
      </c>
      <c r="J80" t="s">
        <v>92</v>
      </c>
      <c r="K80" s="4">
        <v>333.46</v>
      </c>
      <c r="L80" t="s">
        <v>294</v>
      </c>
      <c r="M80" s="1">
        <v>46589</v>
      </c>
      <c r="N80" t="s">
        <v>24</v>
      </c>
      <c r="O80" t="s">
        <v>51</v>
      </c>
    </row>
    <row r="81" spans="1:15" x14ac:dyDescent="0.25">
      <c r="A81" t="s">
        <v>295</v>
      </c>
      <c r="B81" t="s">
        <v>35</v>
      </c>
      <c r="C81">
        <v>2024</v>
      </c>
      <c r="D81" t="s">
        <v>71</v>
      </c>
      <c r="E81" t="s">
        <v>78</v>
      </c>
      <c r="F81" t="s">
        <v>296</v>
      </c>
      <c r="G81">
        <v>450</v>
      </c>
      <c r="H81" t="s">
        <v>62</v>
      </c>
      <c r="I81" t="s">
        <v>73</v>
      </c>
      <c r="J81" t="s">
        <v>49</v>
      </c>
      <c r="K81" s="4">
        <v>415.63</v>
      </c>
      <c r="L81" t="s">
        <v>297</v>
      </c>
      <c r="M81" s="1">
        <v>46539</v>
      </c>
      <c r="N81" t="s">
        <v>24</v>
      </c>
      <c r="O81" t="s">
        <v>51</v>
      </c>
    </row>
    <row r="82" spans="1:15" x14ac:dyDescent="0.25">
      <c r="A82" t="s">
        <v>298</v>
      </c>
      <c r="B82" t="s">
        <v>77</v>
      </c>
      <c r="C82">
        <v>2017</v>
      </c>
      <c r="D82" t="s">
        <v>44</v>
      </c>
      <c r="E82" t="s">
        <v>54</v>
      </c>
      <c r="F82" t="s">
        <v>299</v>
      </c>
      <c r="G82">
        <v>70</v>
      </c>
      <c r="H82" t="s">
        <v>38</v>
      </c>
      <c r="I82" t="s">
        <v>186</v>
      </c>
      <c r="J82" t="s">
        <v>110</v>
      </c>
      <c r="K82" s="4">
        <v>404.29</v>
      </c>
      <c r="L82" t="s">
        <v>300</v>
      </c>
      <c r="M82" s="1">
        <v>46677</v>
      </c>
      <c r="N82" t="s">
        <v>75</v>
      </c>
      <c r="O82" t="s">
        <v>25</v>
      </c>
    </row>
    <row r="83" spans="1:15" x14ac:dyDescent="0.25">
      <c r="A83" t="s">
        <v>301</v>
      </c>
      <c r="B83" t="s">
        <v>43</v>
      </c>
      <c r="C83">
        <v>2019</v>
      </c>
      <c r="D83" t="s">
        <v>17</v>
      </c>
      <c r="E83" t="s">
        <v>60</v>
      </c>
      <c r="F83" t="s">
        <v>302</v>
      </c>
      <c r="G83">
        <v>800</v>
      </c>
      <c r="H83" t="s">
        <v>85</v>
      </c>
      <c r="I83" t="s">
        <v>48</v>
      </c>
      <c r="J83" t="s">
        <v>110</v>
      </c>
      <c r="K83" s="4">
        <v>265.29000000000002</v>
      </c>
      <c r="L83" t="s">
        <v>303</v>
      </c>
      <c r="M83" s="1">
        <v>45886</v>
      </c>
      <c r="N83" t="s">
        <v>24</v>
      </c>
      <c r="O83" t="s">
        <v>51</v>
      </c>
    </row>
    <row r="84" spans="1:15" x14ac:dyDescent="0.25">
      <c r="A84" t="s">
        <v>304</v>
      </c>
      <c r="B84" t="s">
        <v>70</v>
      </c>
      <c r="C84">
        <v>2010</v>
      </c>
      <c r="D84" t="s">
        <v>44</v>
      </c>
      <c r="E84" t="s">
        <v>45</v>
      </c>
      <c r="F84" t="s">
        <v>305</v>
      </c>
      <c r="G84">
        <v>710</v>
      </c>
      <c r="H84" t="s">
        <v>62</v>
      </c>
      <c r="I84" t="s">
        <v>151</v>
      </c>
      <c r="J84" t="s">
        <v>146</v>
      </c>
      <c r="K84" s="4">
        <v>208.67</v>
      </c>
      <c r="L84" t="s">
        <v>306</v>
      </c>
      <c r="M84" s="1">
        <v>46062</v>
      </c>
      <c r="N84" t="s">
        <v>24</v>
      </c>
      <c r="O84" t="s">
        <v>33</v>
      </c>
    </row>
    <row r="85" spans="1:15" x14ac:dyDescent="0.25">
      <c r="A85" t="s">
        <v>307</v>
      </c>
      <c r="B85" t="s">
        <v>16</v>
      </c>
      <c r="C85">
        <v>2004</v>
      </c>
      <c r="D85" t="s">
        <v>36</v>
      </c>
      <c r="E85" t="s">
        <v>18</v>
      </c>
      <c r="F85" t="s">
        <v>308</v>
      </c>
      <c r="G85">
        <v>530</v>
      </c>
      <c r="H85" t="s">
        <v>29</v>
      </c>
      <c r="I85" t="s">
        <v>186</v>
      </c>
      <c r="J85" t="s">
        <v>22</v>
      </c>
      <c r="K85" s="4">
        <v>330.14</v>
      </c>
      <c r="L85" t="s">
        <v>309</v>
      </c>
      <c r="M85" s="1">
        <v>45983</v>
      </c>
      <c r="N85" t="s">
        <v>41</v>
      </c>
      <c r="O85" t="s">
        <v>51</v>
      </c>
    </row>
    <row r="86" spans="1:15" x14ac:dyDescent="0.25">
      <c r="A86" t="s">
        <v>310</v>
      </c>
      <c r="B86" t="s">
        <v>70</v>
      </c>
      <c r="C86">
        <v>1998</v>
      </c>
      <c r="D86" t="s">
        <v>71</v>
      </c>
      <c r="E86" t="s">
        <v>18</v>
      </c>
      <c r="F86" t="s">
        <v>311</v>
      </c>
      <c r="G86">
        <v>320</v>
      </c>
      <c r="H86" t="s">
        <v>47</v>
      </c>
      <c r="I86" t="s">
        <v>39</v>
      </c>
      <c r="J86" t="s">
        <v>22</v>
      </c>
      <c r="K86" s="4">
        <v>265.69</v>
      </c>
      <c r="L86" t="s">
        <v>312</v>
      </c>
      <c r="M86" s="1">
        <v>46830</v>
      </c>
      <c r="N86" t="s">
        <v>24</v>
      </c>
      <c r="O86" t="s">
        <v>51</v>
      </c>
    </row>
    <row r="87" spans="1:15" x14ac:dyDescent="0.25">
      <c r="A87" t="s">
        <v>313</v>
      </c>
      <c r="B87" t="s">
        <v>43</v>
      </c>
      <c r="C87">
        <v>2014</v>
      </c>
      <c r="D87" t="s">
        <v>95</v>
      </c>
      <c r="E87" t="s">
        <v>60</v>
      </c>
      <c r="F87" t="s">
        <v>314</v>
      </c>
      <c r="G87">
        <v>280</v>
      </c>
      <c r="H87" t="s">
        <v>47</v>
      </c>
      <c r="I87" t="s">
        <v>151</v>
      </c>
      <c r="J87" t="s">
        <v>92</v>
      </c>
      <c r="K87" s="4">
        <v>218.74</v>
      </c>
      <c r="L87" t="s">
        <v>315</v>
      </c>
      <c r="M87" s="1">
        <v>46469</v>
      </c>
      <c r="N87" t="s">
        <v>24</v>
      </c>
      <c r="O87" t="s">
        <v>51</v>
      </c>
    </row>
    <row r="88" spans="1:15" x14ac:dyDescent="0.25">
      <c r="A88" t="s">
        <v>316</v>
      </c>
      <c r="B88" t="s">
        <v>98</v>
      </c>
      <c r="C88">
        <v>2010</v>
      </c>
      <c r="D88" t="s">
        <v>44</v>
      </c>
      <c r="E88" t="s">
        <v>78</v>
      </c>
      <c r="F88" t="s">
        <v>317</v>
      </c>
      <c r="G88">
        <v>930</v>
      </c>
      <c r="H88" t="s">
        <v>62</v>
      </c>
      <c r="I88" t="s">
        <v>30</v>
      </c>
      <c r="J88" t="s">
        <v>125</v>
      </c>
      <c r="K88" s="4">
        <v>31.58</v>
      </c>
      <c r="L88" t="s">
        <v>318</v>
      </c>
      <c r="M88" s="1">
        <v>46602</v>
      </c>
      <c r="N88" t="s">
        <v>41</v>
      </c>
      <c r="O88" t="s">
        <v>51</v>
      </c>
    </row>
    <row r="89" spans="1:15" x14ac:dyDescent="0.25">
      <c r="A89" t="s">
        <v>319</v>
      </c>
      <c r="B89" t="s">
        <v>59</v>
      </c>
      <c r="C89">
        <v>2013</v>
      </c>
      <c r="D89" t="s">
        <v>89</v>
      </c>
      <c r="E89" t="s">
        <v>99</v>
      </c>
      <c r="F89" t="s">
        <v>320</v>
      </c>
      <c r="G89">
        <v>430</v>
      </c>
      <c r="H89" t="s">
        <v>85</v>
      </c>
      <c r="I89" t="s">
        <v>30</v>
      </c>
      <c r="J89" t="s">
        <v>92</v>
      </c>
      <c r="K89" s="4">
        <v>222.4</v>
      </c>
      <c r="L89" t="s">
        <v>321</v>
      </c>
      <c r="M89" s="1">
        <v>46654</v>
      </c>
      <c r="N89" t="s">
        <v>41</v>
      </c>
      <c r="O89" t="s">
        <v>33</v>
      </c>
    </row>
    <row r="90" spans="1:15" x14ac:dyDescent="0.25">
      <c r="A90" t="s">
        <v>322</v>
      </c>
      <c r="B90" t="s">
        <v>16</v>
      </c>
      <c r="C90">
        <v>2003</v>
      </c>
      <c r="D90" t="s">
        <v>44</v>
      </c>
      <c r="E90" t="s">
        <v>99</v>
      </c>
      <c r="F90" t="s">
        <v>323</v>
      </c>
      <c r="G90">
        <v>450</v>
      </c>
      <c r="H90" t="s">
        <v>29</v>
      </c>
      <c r="I90" t="s">
        <v>151</v>
      </c>
      <c r="J90" t="s">
        <v>92</v>
      </c>
      <c r="K90" s="4">
        <v>454.03</v>
      </c>
      <c r="L90" t="s">
        <v>324</v>
      </c>
      <c r="M90" s="1">
        <v>46374</v>
      </c>
      <c r="N90" t="s">
        <v>75</v>
      </c>
      <c r="O90" t="s">
        <v>51</v>
      </c>
    </row>
    <row r="91" spans="1:15" x14ac:dyDescent="0.25">
      <c r="A91" t="s">
        <v>325</v>
      </c>
      <c r="B91" t="s">
        <v>98</v>
      </c>
      <c r="C91">
        <v>2023</v>
      </c>
      <c r="D91" t="s">
        <v>27</v>
      </c>
      <c r="E91" t="s">
        <v>60</v>
      </c>
      <c r="F91" t="s">
        <v>326</v>
      </c>
      <c r="G91">
        <v>620</v>
      </c>
      <c r="H91" t="s">
        <v>56</v>
      </c>
      <c r="I91" t="s">
        <v>86</v>
      </c>
      <c r="J91" t="s">
        <v>121</v>
      </c>
      <c r="K91" s="4">
        <v>286.95</v>
      </c>
      <c r="L91" t="s">
        <v>327</v>
      </c>
      <c r="M91" s="1">
        <v>46844</v>
      </c>
      <c r="N91" t="s">
        <v>41</v>
      </c>
      <c r="O91" t="s">
        <v>25</v>
      </c>
    </row>
    <row r="92" spans="1:15" x14ac:dyDescent="0.25">
      <c r="A92" t="s">
        <v>328</v>
      </c>
      <c r="B92" t="s">
        <v>16</v>
      </c>
      <c r="C92">
        <v>2019</v>
      </c>
      <c r="D92" t="s">
        <v>89</v>
      </c>
      <c r="E92" t="s">
        <v>116</v>
      </c>
      <c r="F92" t="s">
        <v>67</v>
      </c>
      <c r="G92">
        <v>670</v>
      </c>
      <c r="H92" t="s">
        <v>29</v>
      </c>
      <c r="I92" t="s">
        <v>86</v>
      </c>
      <c r="J92" t="s">
        <v>110</v>
      </c>
      <c r="K92" s="4">
        <v>133.78</v>
      </c>
      <c r="L92" t="s">
        <v>329</v>
      </c>
      <c r="M92" s="1">
        <v>46108</v>
      </c>
      <c r="N92" t="s">
        <v>41</v>
      </c>
      <c r="O92" t="s">
        <v>51</v>
      </c>
    </row>
    <row r="93" spans="1:15" x14ac:dyDescent="0.25">
      <c r="A93" t="s">
        <v>330</v>
      </c>
      <c r="B93" t="s">
        <v>138</v>
      </c>
      <c r="C93">
        <v>2009</v>
      </c>
      <c r="D93" t="s">
        <v>27</v>
      </c>
      <c r="E93" t="s">
        <v>104</v>
      </c>
      <c r="F93" t="s">
        <v>208</v>
      </c>
      <c r="G93">
        <v>700</v>
      </c>
      <c r="H93" t="s">
        <v>85</v>
      </c>
      <c r="I93" t="s">
        <v>48</v>
      </c>
      <c r="J93" t="s">
        <v>92</v>
      </c>
      <c r="K93" s="4">
        <v>307.19</v>
      </c>
      <c r="L93" t="s">
        <v>331</v>
      </c>
      <c r="M93" s="1">
        <v>46165</v>
      </c>
      <c r="N93" t="s">
        <v>41</v>
      </c>
      <c r="O93" t="s">
        <v>33</v>
      </c>
    </row>
    <row r="94" spans="1:15" x14ac:dyDescent="0.25">
      <c r="A94" t="s">
        <v>332</v>
      </c>
      <c r="B94" t="s">
        <v>138</v>
      </c>
      <c r="C94">
        <v>2024</v>
      </c>
      <c r="D94" t="s">
        <v>66</v>
      </c>
      <c r="E94" t="s">
        <v>72</v>
      </c>
      <c r="F94" t="s">
        <v>333</v>
      </c>
      <c r="G94">
        <v>780</v>
      </c>
      <c r="H94" t="s">
        <v>38</v>
      </c>
      <c r="I94" t="s">
        <v>21</v>
      </c>
      <c r="J94" t="s">
        <v>22</v>
      </c>
      <c r="K94" s="4">
        <v>35.4</v>
      </c>
      <c r="L94" t="s">
        <v>334</v>
      </c>
      <c r="M94" s="1">
        <v>46786</v>
      </c>
      <c r="N94" t="s">
        <v>24</v>
      </c>
      <c r="O94" t="s">
        <v>33</v>
      </c>
    </row>
    <row r="95" spans="1:15" x14ac:dyDescent="0.25">
      <c r="A95" t="s">
        <v>335</v>
      </c>
      <c r="B95" t="s">
        <v>77</v>
      </c>
      <c r="C95">
        <v>2000</v>
      </c>
      <c r="D95" t="s">
        <v>71</v>
      </c>
      <c r="E95" t="s">
        <v>116</v>
      </c>
      <c r="F95" t="s">
        <v>336</v>
      </c>
      <c r="G95">
        <v>710</v>
      </c>
      <c r="H95" t="s">
        <v>20</v>
      </c>
      <c r="I95" t="s">
        <v>151</v>
      </c>
      <c r="J95" t="s">
        <v>101</v>
      </c>
      <c r="K95" s="4">
        <v>13.85</v>
      </c>
      <c r="L95" t="s">
        <v>337</v>
      </c>
      <c r="M95" s="1">
        <v>46546</v>
      </c>
      <c r="N95" t="s">
        <v>75</v>
      </c>
      <c r="O95" t="s">
        <v>33</v>
      </c>
    </row>
    <row r="96" spans="1:15" x14ac:dyDescent="0.25">
      <c r="A96" t="s">
        <v>338</v>
      </c>
      <c r="B96" t="s">
        <v>70</v>
      </c>
      <c r="C96">
        <v>2003</v>
      </c>
      <c r="D96" t="s">
        <v>44</v>
      </c>
      <c r="E96" t="s">
        <v>116</v>
      </c>
      <c r="F96" t="s">
        <v>339</v>
      </c>
      <c r="G96">
        <v>510</v>
      </c>
      <c r="H96" t="s">
        <v>62</v>
      </c>
      <c r="I96" t="s">
        <v>151</v>
      </c>
      <c r="J96" t="s">
        <v>110</v>
      </c>
      <c r="K96" s="4">
        <v>283.36</v>
      </c>
      <c r="L96" t="s">
        <v>340</v>
      </c>
      <c r="M96" s="1">
        <v>46505</v>
      </c>
      <c r="N96" t="s">
        <v>24</v>
      </c>
      <c r="O96" t="s">
        <v>25</v>
      </c>
    </row>
    <row r="97" spans="1:15" x14ac:dyDescent="0.25">
      <c r="A97" t="s">
        <v>341</v>
      </c>
      <c r="B97" t="s">
        <v>16</v>
      </c>
      <c r="C97">
        <v>2015</v>
      </c>
      <c r="D97" t="s">
        <v>89</v>
      </c>
      <c r="E97" t="s">
        <v>104</v>
      </c>
      <c r="F97" t="s">
        <v>342</v>
      </c>
      <c r="G97">
        <v>240</v>
      </c>
      <c r="H97" t="s">
        <v>56</v>
      </c>
      <c r="I97" t="s">
        <v>86</v>
      </c>
      <c r="J97" t="s">
        <v>110</v>
      </c>
      <c r="K97" s="4">
        <v>440.99</v>
      </c>
      <c r="L97" t="s">
        <v>343</v>
      </c>
      <c r="M97" s="1">
        <v>46450</v>
      </c>
      <c r="N97" t="s">
        <v>75</v>
      </c>
      <c r="O97" t="s">
        <v>25</v>
      </c>
    </row>
    <row r="98" spans="1:15" x14ac:dyDescent="0.25">
      <c r="A98" t="s">
        <v>344</v>
      </c>
      <c r="B98" t="s">
        <v>138</v>
      </c>
      <c r="C98">
        <v>1992</v>
      </c>
      <c r="D98" t="s">
        <v>36</v>
      </c>
      <c r="E98" t="s">
        <v>119</v>
      </c>
      <c r="F98" t="s">
        <v>345</v>
      </c>
      <c r="G98">
        <v>720</v>
      </c>
      <c r="H98" t="s">
        <v>20</v>
      </c>
      <c r="I98" t="s">
        <v>80</v>
      </c>
      <c r="J98" t="s">
        <v>22</v>
      </c>
      <c r="K98" s="4">
        <v>398.71</v>
      </c>
      <c r="L98" t="s">
        <v>346</v>
      </c>
      <c r="M98" s="1">
        <v>46788</v>
      </c>
      <c r="N98" t="s">
        <v>24</v>
      </c>
      <c r="O98" t="s">
        <v>51</v>
      </c>
    </row>
    <row r="99" spans="1:15" x14ac:dyDescent="0.25">
      <c r="A99" t="s">
        <v>347</v>
      </c>
      <c r="B99" t="s">
        <v>35</v>
      </c>
      <c r="C99">
        <v>2023</v>
      </c>
      <c r="D99" t="s">
        <v>36</v>
      </c>
      <c r="E99" t="s">
        <v>72</v>
      </c>
      <c r="F99" t="s">
        <v>348</v>
      </c>
      <c r="G99">
        <v>70</v>
      </c>
      <c r="H99" t="s">
        <v>29</v>
      </c>
      <c r="I99" t="s">
        <v>21</v>
      </c>
      <c r="J99" t="s">
        <v>101</v>
      </c>
      <c r="K99" s="4">
        <v>179.93</v>
      </c>
      <c r="L99" t="s">
        <v>349</v>
      </c>
      <c r="M99" s="1">
        <v>46332</v>
      </c>
      <c r="N99" t="s">
        <v>75</v>
      </c>
      <c r="O99" t="s">
        <v>51</v>
      </c>
    </row>
    <row r="100" spans="1:15" x14ac:dyDescent="0.25">
      <c r="A100" t="s">
        <v>350</v>
      </c>
      <c r="B100" t="s">
        <v>70</v>
      </c>
      <c r="C100">
        <v>2024</v>
      </c>
      <c r="D100" t="s">
        <v>95</v>
      </c>
      <c r="E100" t="s">
        <v>18</v>
      </c>
      <c r="F100" t="s">
        <v>351</v>
      </c>
      <c r="G100">
        <v>950</v>
      </c>
      <c r="H100" t="s">
        <v>29</v>
      </c>
      <c r="I100" t="s">
        <v>80</v>
      </c>
      <c r="J100" t="s">
        <v>63</v>
      </c>
      <c r="K100" s="4">
        <v>206.62</v>
      </c>
      <c r="L100" t="s">
        <v>352</v>
      </c>
      <c r="M100" s="1">
        <v>46535</v>
      </c>
      <c r="N100" t="s">
        <v>24</v>
      </c>
      <c r="O100" t="s">
        <v>51</v>
      </c>
    </row>
    <row r="101" spans="1:15" x14ac:dyDescent="0.25">
      <c r="A101" t="s">
        <v>353</v>
      </c>
      <c r="B101" t="s">
        <v>35</v>
      </c>
      <c r="C101">
        <v>2019</v>
      </c>
      <c r="D101" t="s">
        <v>27</v>
      </c>
      <c r="E101" t="s">
        <v>104</v>
      </c>
      <c r="F101" t="s">
        <v>180</v>
      </c>
      <c r="G101">
        <v>280</v>
      </c>
      <c r="H101" t="s">
        <v>38</v>
      </c>
      <c r="I101" t="s">
        <v>186</v>
      </c>
      <c r="J101" t="s">
        <v>31</v>
      </c>
      <c r="K101" s="4">
        <v>470.58</v>
      </c>
      <c r="L101" t="s">
        <v>354</v>
      </c>
      <c r="M101" s="1">
        <v>46477</v>
      </c>
      <c r="N101" t="s">
        <v>41</v>
      </c>
      <c r="O101" t="s">
        <v>33</v>
      </c>
    </row>
    <row r="102" spans="1:15" x14ac:dyDescent="0.25">
      <c r="A102" t="s">
        <v>355</v>
      </c>
      <c r="B102" t="s">
        <v>134</v>
      </c>
      <c r="C102">
        <v>2004</v>
      </c>
      <c r="D102" t="s">
        <v>27</v>
      </c>
      <c r="E102" t="s">
        <v>116</v>
      </c>
      <c r="F102" t="s">
        <v>79</v>
      </c>
      <c r="G102">
        <v>940</v>
      </c>
      <c r="H102" t="s">
        <v>20</v>
      </c>
      <c r="I102" t="s">
        <v>21</v>
      </c>
      <c r="J102" t="s">
        <v>110</v>
      </c>
      <c r="K102" s="4">
        <v>82.89</v>
      </c>
      <c r="L102" t="s">
        <v>356</v>
      </c>
      <c r="M102" s="1">
        <v>46307</v>
      </c>
      <c r="N102" t="s">
        <v>24</v>
      </c>
      <c r="O102" t="s">
        <v>33</v>
      </c>
    </row>
    <row r="103" spans="1:15" x14ac:dyDescent="0.25">
      <c r="A103" t="s">
        <v>357</v>
      </c>
      <c r="B103" t="s">
        <v>134</v>
      </c>
      <c r="C103">
        <v>2008</v>
      </c>
      <c r="D103" t="s">
        <v>95</v>
      </c>
      <c r="E103" t="s">
        <v>116</v>
      </c>
      <c r="F103" t="s">
        <v>296</v>
      </c>
      <c r="G103">
        <v>930</v>
      </c>
      <c r="H103" t="s">
        <v>29</v>
      </c>
      <c r="I103" t="s">
        <v>80</v>
      </c>
      <c r="J103" t="s">
        <v>146</v>
      </c>
      <c r="K103" s="4">
        <v>293.57</v>
      </c>
      <c r="L103" t="s">
        <v>358</v>
      </c>
      <c r="M103" s="1">
        <v>46266</v>
      </c>
      <c r="N103" t="s">
        <v>75</v>
      </c>
      <c r="O103" t="s">
        <v>51</v>
      </c>
    </row>
    <row r="104" spans="1:15" x14ac:dyDescent="0.25">
      <c r="A104" t="s">
        <v>359</v>
      </c>
      <c r="B104" t="s">
        <v>59</v>
      </c>
      <c r="C104">
        <v>2003</v>
      </c>
      <c r="D104" t="s">
        <v>83</v>
      </c>
      <c r="E104" t="s">
        <v>104</v>
      </c>
      <c r="F104" t="s">
        <v>139</v>
      </c>
      <c r="G104">
        <v>710</v>
      </c>
      <c r="H104" t="s">
        <v>38</v>
      </c>
      <c r="I104" t="s">
        <v>39</v>
      </c>
      <c r="J104" t="s">
        <v>125</v>
      </c>
      <c r="K104" s="4">
        <v>116.12</v>
      </c>
      <c r="L104" t="s">
        <v>360</v>
      </c>
      <c r="M104" s="1">
        <v>46047</v>
      </c>
      <c r="N104" t="s">
        <v>75</v>
      </c>
      <c r="O104" t="s">
        <v>25</v>
      </c>
    </row>
    <row r="105" spans="1:15" x14ac:dyDescent="0.25">
      <c r="A105" t="s">
        <v>361</v>
      </c>
      <c r="B105" t="s">
        <v>70</v>
      </c>
      <c r="C105">
        <v>1996</v>
      </c>
      <c r="D105" t="s">
        <v>108</v>
      </c>
      <c r="E105" t="s">
        <v>54</v>
      </c>
      <c r="F105" t="s">
        <v>362</v>
      </c>
      <c r="G105">
        <v>560</v>
      </c>
      <c r="H105" t="s">
        <v>38</v>
      </c>
      <c r="I105" t="s">
        <v>91</v>
      </c>
      <c r="J105" t="s">
        <v>110</v>
      </c>
      <c r="K105" s="4">
        <v>4.71</v>
      </c>
      <c r="L105" t="s">
        <v>363</v>
      </c>
      <c r="M105" s="1">
        <v>46964</v>
      </c>
      <c r="N105" t="s">
        <v>41</v>
      </c>
      <c r="O105" t="s">
        <v>25</v>
      </c>
    </row>
    <row r="106" spans="1:15" x14ac:dyDescent="0.25">
      <c r="A106" t="s">
        <v>364</v>
      </c>
      <c r="B106" t="s">
        <v>35</v>
      </c>
      <c r="C106">
        <v>2020</v>
      </c>
      <c r="D106" t="s">
        <v>83</v>
      </c>
      <c r="E106" t="s">
        <v>18</v>
      </c>
      <c r="F106" t="s">
        <v>365</v>
      </c>
      <c r="G106">
        <v>740</v>
      </c>
      <c r="H106" t="s">
        <v>56</v>
      </c>
      <c r="I106" t="s">
        <v>30</v>
      </c>
      <c r="J106" t="s">
        <v>63</v>
      </c>
      <c r="K106" s="4">
        <v>71.52</v>
      </c>
      <c r="L106" t="s">
        <v>366</v>
      </c>
      <c r="M106" s="1">
        <v>46002</v>
      </c>
      <c r="N106" t="s">
        <v>41</v>
      </c>
      <c r="O106" t="s">
        <v>25</v>
      </c>
    </row>
    <row r="107" spans="1:15" x14ac:dyDescent="0.25">
      <c r="A107" t="s">
        <v>367</v>
      </c>
      <c r="B107" t="s">
        <v>77</v>
      </c>
      <c r="C107">
        <v>2024</v>
      </c>
      <c r="D107" t="s">
        <v>83</v>
      </c>
      <c r="E107" t="s">
        <v>78</v>
      </c>
      <c r="F107" t="s">
        <v>189</v>
      </c>
      <c r="G107">
        <v>480</v>
      </c>
      <c r="H107" t="s">
        <v>85</v>
      </c>
      <c r="I107" t="s">
        <v>86</v>
      </c>
      <c r="J107" t="s">
        <v>110</v>
      </c>
      <c r="K107" s="4">
        <v>480.99</v>
      </c>
      <c r="L107" t="s">
        <v>368</v>
      </c>
      <c r="M107" s="1">
        <v>46890</v>
      </c>
      <c r="N107" t="s">
        <v>41</v>
      </c>
      <c r="O107" t="s">
        <v>25</v>
      </c>
    </row>
    <row r="108" spans="1:15" x14ac:dyDescent="0.25">
      <c r="A108" t="s">
        <v>369</v>
      </c>
      <c r="B108" t="s">
        <v>70</v>
      </c>
      <c r="C108">
        <v>2018</v>
      </c>
      <c r="D108" t="s">
        <v>17</v>
      </c>
      <c r="E108" t="s">
        <v>99</v>
      </c>
      <c r="F108" t="s">
        <v>145</v>
      </c>
      <c r="G108">
        <v>350</v>
      </c>
      <c r="H108" t="s">
        <v>85</v>
      </c>
      <c r="I108" t="s">
        <v>80</v>
      </c>
      <c r="J108" t="s">
        <v>121</v>
      </c>
      <c r="K108" s="4">
        <v>295.60000000000002</v>
      </c>
      <c r="L108" t="s">
        <v>370</v>
      </c>
      <c r="M108" s="1">
        <v>46421</v>
      </c>
      <c r="N108" t="s">
        <v>24</v>
      </c>
      <c r="O108" t="s">
        <v>33</v>
      </c>
    </row>
    <row r="109" spans="1:15" x14ac:dyDescent="0.25">
      <c r="A109" t="s">
        <v>371</v>
      </c>
      <c r="B109" t="s">
        <v>134</v>
      </c>
      <c r="C109">
        <v>2001</v>
      </c>
      <c r="D109" t="s">
        <v>27</v>
      </c>
      <c r="E109" t="s">
        <v>119</v>
      </c>
      <c r="F109" t="s">
        <v>372</v>
      </c>
      <c r="G109">
        <v>240</v>
      </c>
      <c r="H109" t="s">
        <v>85</v>
      </c>
      <c r="I109" t="s">
        <v>48</v>
      </c>
      <c r="J109" t="s">
        <v>101</v>
      </c>
      <c r="K109" s="4">
        <v>50.92</v>
      </c>
      <c r="L109" t="s">
        <v>373</v>
      </c>
      <c r="M109" s="1">
        <v>46619</v>
      </c>
      <c r="N109" t="s">
        <v>41</v>
      </c>
      <c r="O109" t="s">
        <v>51</v>
      </c>
    </row>
    <row r="110" spans="1:15" x14ac:dyDescent="0.25">
      <c r="A110" t="s">
        <v>374</v>
      </c>
      <c r="B110" t="s">
        <v>16</v>
      </c>
      <c r="C110">
        <v>2014</v>
      </c>
      <c r="D110" t="s">
        <v>44</v>
      </c>
      <c r="E110" t="s">
        <v>119</v>
      </c>
      <c r="F110" t="s">
        <v>375</v>
      </c>
      <c r="G110">
        <v>670</v>
      </c>
      <c r="H110" t="s">
        <v>38</v>
      </c>
      <c r="I110" t="s">
        <v>30</v>
      </c>
      <c r="J110" t="s">
        <v>101</v>
      </c>
      <c r="K110" s="4">
        <v>452.73</v>
      </c>
      <c r="L110" t="s">
        <v>376</v>
      </c>
      <c r="M110" s="1">
        <v>46693</v>
      </c>
      <c r="N110" t="s">
        <v>24</v>
      </c>
      <c r="O110" t="s">
        <v>51</v>
      </c>
    </row>
    <row r="111" spans="1:15" x14ac:dyDescent="0.25">
      <c r="A111" t="s">
        <v>377</v>
      </c>
      <c r="B111" t="s">
        <v>98</v>
      </c>
      <c r="C111">
        <v>2013</v>
      </c>
      <c r="D111" t="s">
        <v>17</v>
      </c>
      <c r="E111" t="s">
        <v>99</v>
      </c>
      <c r="F111" t="s">
        <v>378</v>
      </c>
      <c r="G111">
        <v>720</v>
      </c>
      <c r="H111" t="s">
        <v>47</v>
      </c>
      <c r="I111" t="s">
        <v>186</v>
      </c>
      <c r="J111" t="s">
        <v>31</v>
      </c>
      <c r="K111" s="4">
        <v>433.95</v>
      </c>
      <c r="L111" t="s">
        <v>379</v>
      </c>
      <c r="M111" s="1">
        <v>45895</v>
      </c>
      <c r="N111" t="s">
        <v>41</v>
      </c>
      <c r="O111" t="s">
        <v>51</v>
      </c>
    </row>
    <row r="112" spans="1:15" x14ac:dyDescent="0.25">
      <c r="A112" t="s">
        <v>380</v>
      </c>
      <c r="B112" t="s">
        <v>70</v>
      </c>
      <c r="C112">
        <v>1993</v>
      </c>
      <c r="D112" t="s">
        <v>27</v>
      </c>
      <c r="E112" t="s">
        <v>60</v>
      </c>
      <c r="F112" t="s">
        <v>381</v>
      </c>
      <c r="G112">
        <v>20</v>
      </c>
      <c r="H112" t="s">
        <v>56</v>
      </c>
      <c r="I112" t="s">
        <v>48</v>
      </c>
      <c r="J112" t="s">
        <v>22</v>
      </c>
      <c r="K112" s="4">
        <v>482.36</v>
      </c>
      <c r="L112" t="s">
        <v>382</v>
      </c>
      <c r="M112" s="1">
        <v>46571</v>
      </c>
      <c r="N112" t="s">
        <v>24</v>
      </c>
      <c r="O112" t="s">
        <v>51</v>
      </c>
    </row>
    <row r="113" spans="1:15" x14ac:dyDescent="0.25">
      <c r="A113" t="s">
        <v>383</v>
      </c>
      <c r="B113" t="s">
        <v>98</v>
      </c>
      <c r="C113">
        <v>2024</v>
      </c>
      <c r="D113" t="s">
        <v>36</v>
      </c>
      <c r="E113" t="s">
        <v>60</v>
      </c>
      <c r="F113" t="s">
        <v>296</v>
      </c>
      <c r="G113">
        <v>460</v>
      </c>
      <c r="H113" t="s">
        <v>47</v>
      </c>
      <c r="I113" t="s">
        <v>30</v>
      </c>
      <c r="J113" t="s">
        <v>121</v>
      </c>
      <c r="K113" s="4">
        <v>96.45</v>
      </c>
      <c r="L113" t="s">
        <v>384</v>
      </c>
      <c r="M113" s="1">
        <v>46172</v>
      </c>
      <c r="N113" t="s">
        <v>41</v>
      </c>
      <c r="O113" t="s">
        <v>51</v>
      </c>
    </row>
    <row r="114" spans="1:15" x14ac:dyDescent="0.25">
      <c r="A114" t="s">
        <v>385</v>
      </c>
      <c r="B114" t="s">
        <v>138</v>
      </c>
      <c r="C114">
        <v>2014</v>
      </c>
      <c r="D114" t="s">
        <v>108</v>
      </c>
      <c r="E114" t="s">
        <v>45</v>
      </c>
      <c r="F114" t="s">
        <v>286</v>
      </c>
      <c r="G114">
        <v>580</v>
      </c>
      <c r="H114" t="s">
        <v>47</v>
      </c>
      <c r="I114" t="s">
        <v>80</v>
      </c>
      <c r="J114" t="s">
        <v>63</v>
      </c>
      <c r="K114" s="4">
        <v>57.36</v>
      </c>
      <c r="L114" t="s">
        <v>386</v>
      </c>
      <c r="M114" s="1">
        <v>46460</v>
      </c>
      <c r="N114" t="s">
        <v>24</v>
      </c>
      <c r="O114" t="s">
        <v>51</v>
      </c>
    </row>
    <row r="115" spans="1:15" x14ac:dyDescent="0.25">
      <c r="A115" t="s">
        <v>387</v>
      </c>
      <c r="B115" t="s">
        <v>53</v>
      </c>
      <c r="C115">
        <v>2017</v>
      </c>
      <c r="D115" t="s">
        <v>66</v>
      </c>
      <c r="E115" t="s">
        <v>116</v>
      </c>
      <c r="F115" t="s">
        <v>388</v>
      </c>
      <c r="G115">
        <v>500</v>
      </c>
      <c r="H115" t="s">
        <v>20</v>
      </c>
      <c r="I115" t="s">
        <v>73</v>
      </c>
      <c r="J115" t="s">
        <v>63</v>
      </c>
      <c r="K115" s="4">
        <v>308.2</v>
      </c>
      <c r="L115" t="s">
        <v>389</v>
      </c>
      <c r="M115" s="1">
        <v>46589</v>
      </c>
      <c r="N115" t="s">
        <v>41</v>
      </c>
      <c r="O115" t="s">
        <v>25</v>
      </c>
    </row>
    <row r="116" spans="1:15" x14ac:dyDescent="0.25">
      <c r="A116" t="s">
        <v>390</v>
      </c>
      <c r="B116" t="s">
        <v>16</v>
      </c>
      <c r="C116">
        <v>2013</v>
      </c>
      <c r="D116" t="s">
        <v>71</v>
      </c>
      <c r="E116" t="s">
        <v>99</v>
      </c>
      <c r="F116" t="s">
        <v>391</v>
      </c>
      <c r="G116">
        <v>850</v>
      </c>
      <c r="H116" t="s">
        <v>85</v>
      </c>
      <c r="I116" t="s">
        <v>186</v>
      </c>
      <c r="J116" t="s">
        <v>146</v>
      </c>
      <c r="K116" s="4">
        <v>152.11000000000001</v>
      </c>
      <c r="L116" t="s">
        <v>392</v>
      </c>
      <c r="M116" s="1">
        <v>45933</v>
      </c>
      <c r="N116" t="s">
        <v>24</v>
      </c>
      <c r="O116" t="s">
        <v>33</v>
      </c>
    </row>
    <row r="117" spans="1:15" x14ac:dyDescent="0.25">
      <c r="A117" t="s">
        <v>393</v>
      </c>
      <c r="B117" t="s">
        <v>43</v>
      </c>
      <c r="C117">
        <v>2008</v>
      </c>
      <c r="D117" t="s">
        <v>44</v>
      </c>
      <c r="E117" t="s">
        <v>18</v>
      </c>
      <c r="F117" t="s">
        <v>342</v>
      </c>
      <c r="G117">
        <v>720</v>
      </c>
      <c r="H117" t="s">
        <v>56</v>
      </c>
      <c r="I117" t="s">
        <v>151</v>
      </c>
      <c r="J117" t="s">
        <v>31</v>
      </c>
      <c r="K117" s="4">
        <v>220.31</v>
      </c>
      <c r="L117" t="s">
        <v>394</v>
      </c>
      <c r="M117" s="1">
        <v>45972</v>
      </c>
      <c r="N117" t="s">
        <v>41</v>
      </c>
      <c r="O117" t="s">
        <v>33</v>
      </c>
    </row>
    <row r="118" spans="1:15" x14ac:dyDescent="0.25">
      <c r="A118" t="s">
        <v>395</v>
      </c>
      <c r="B118" t="s">
        <v>134</v>
      </c>
      <c r="C118">
        <v>1991</v>
      </c>
      <c r="D118" t="s">
        <v>44</v>
      </c>
      <c r="E118" t="s">
        <v>104</v>
      </c>
      <c r="F118" t="s">
        <v>396</v>
      </c>
      <c r="G118">
        <v>730</v>
      </c>
      <c r="H118" t="s">
        <v>29</v>
      </c>
      <c r="I118" t="s">
        <v>39</v>
      </c>
      <c r="J118" t="s">
        <v>63</v>
      </c>
      <c r="K118" s="4">
        <v>404.66</v>
      </c>
      <c r="L118" t="s">
        <v>397</v>
      </c>
      <c r="M118" s="1">
        <v>46507</v>
      </c>
      <c r="N118" t="s">
        <v>24</v>
      </c>
      <c r="O118" t="s">
        <v>25</v>
      </c>
    </row>
    <row r="119" spans="1:15" x14ac:dyDescent="0.25">
      <c r="A119" t="s">
        <v>398</v>
      </c>
      <c r="B119" t="s">
        <v>134</v>
      </c>
      <c r="C119">
        <v>2001</v>
      </c>
      <c r="D119" t="s">
        <v>17</v>
      </c>
      <c r="E119" t="s">
        <v>18</v>
      </c>
      <c r="F119" t="s">
        <v>399</v>
      </c>
      <c r="G119">
        <v>110</v>
      </c>
      <c r="H119" t="s">
        <v>62</v>
      </c>
      <c r="I119" t="s">
        <v>151</v>
      </c>
      <c r="J119" t="s">
        <v>121</v>
      </c>
      <c r="K119" s="4">
        <v>427.1</v>
      </c>
      <c r="L119" t="s">
        <v>400</v>
      </c>
      <c r="M119" s="1">
        <v>46853</v>
      </c>
      <c r="N119" t="s">
        <v>75</v>
      </c>
      <c r="O119" t="s">
        <v>51</v>
      </c>
    </row>
    <row r="120" spans="1:15" x14ac:dyDescent="0.25">
      <c r="A120" t="s">
        <v>401</v>
      </c>
      <c r="B120" t="s">
        <v>138</v>
      </c>
      <c r="C120">
        <v>2010</v>
      </c>
      <c r="D120" t="s">
        <v>44</v>
      </c>
      <c r="E120" t="s">
        <v>104</v>
      </c>
      <c r="F120" t="s">
        <v>402</v>
      </c>
      <c r="G120">
        <v>110</v>
      </c>
      <c r="H120" t="s">
        <v>38</v>
      </c>
      <c r="I120" t="s">
        <v>73</v>
      </c>
      <c r="J120" t="s">
        <v>63</v>
      </c>
      <c r="K120" s="4">
        <v>63.05</v>
      </c>
      <c r="L120" t="s">
        <v>403</v>
      </c>
      <c r="M120" s="1">
        <v>46431</v>
      </c>
      <c r="N120" t="s">
        <v>75</v>
      </c>
      <c r="O120" t="s">
        <v>25</v>
      </c>
    </row>
    <row r="121" spans="1:15" x14ac:dyDescent="0.25">
      <c r="A121" t="s">
        <v>404</v>
      </c>
      <c r="B121" t="s">
        <v>98</v>
      </c>
      <c r="C121">
        <v>1990</v>
      </c>
      <c r="D121" t="s">
        <v>83</v>
      </c>
      <c r="E121" t="s">
        <v>60</v>
      </c>
      <c r="F121" t="s">
        <v>405</v>
      </c>
      <c r="G121">
        <v>80</v>
      </c>
      <c r="H121" t="s">
        <v>20</v>
      </c>
      <c r="I121" t="s">
        <v>21</v>
      </c>
      <c r="J121" t="s">
        <v>49</v>
      </c>
      <c r="K121" s="4">
        <v>339.3</v>
      </c>
      <c r="L121" t="s">
        <v>406</v>
      </c>
      <c r="M121" s="1">
        <v>46886</v>
      </c>
      <c r="N121" t="s">
        <v>41</v>
      </c>
      <c r="O121" t="s">
        <v>51</v>
      </c>
    </row>
    <row r="122" spans="1:15" x14ac:dyDescent="0.25">
      <c r="A122" t="s">
        <v>407</v>
      </c>
      <c r="B122" t="s">
        <v>138</v>
      </c>
      <c r="C122">
        <v>2008</v>
      </c>
      <c r="D122" t="s">
        <v>17</v>
      </c>
      <c r="E122" t="s">
        <v>18</v>
      </c>
      <c r="F122" t="s">
        <v>67</v>
      </c>
      <c r="G122">
        <v>640</v>
      </c>
      <c r="H122" t="s">
        <v>47</v>
      </c>
      <c r="I122" t="s">
        <v>80</v>
      </c>
      <c r="J122" t="s">
        <v>146</v>
      </c>
      <c r="K122" s="4">
        <v>37.869999999999997</v>
      </c>
      <c r="L122" t="s">
        <v>408</v>
      </c>
      <c r="M122" s="1">
        <v>46046</v>
      </c>
      <c r="N122" t="s">
        <v>75</v>
      </c>
      <c r="O122" t="s">
        <v>25</v>
      </c>
    </row>
    <row r="123" spans="1:15" x14ac:dyDescent="0.25">
      <c r="A123" t="s">
        <v>409</v>
      </c>
      <c r="B123" t="s">
        <v>35</v>
      </c>
      <c r="C123">
        <v>1997</v>
      </c>
      <c r="D123" t="s">
        <v>27</v>
      </c>
      <c r="E123" t="s">
        <v>18</v>
      </c>
      <c r="F123" t="s">
        <v>79</v>
      </c>
      <c r="G123">
        <v>160</v>
      </c>
      <c r="H123" t="s">
        <v>85</v>
      </c>
      <c r="I123" t="s">
        <v>73</v>
      </c>
      <c r="J123" t="s">
        <v>125</v>
      </c>
      <c r="K123" s="4">
        <v>338.06</v>
      </c>
      <c r="L123" t="s">
        <v>410</v>
      </c>
      <c r="M123" s="1">
        <v>46849</v>
      </c>
      <c r="N123" t="s">
        <v>41</v>
      </c>
      <c r="O123" t="s">
        <v>51</v>
      </c>
    </row>
    <row r="124" spans="1:15" x14ac:dyDescent="0.25">
      <c r="A124" t="s">
        <v>411</v>
      </c>
      <c r="B124" t="s">
        <v>77</v>
      </c>
      <c r="C124">
        <v>2016</v>
      </c>
      <c r="D124" t="s">
        <v>36</v>
      </c>
      <c r="E124" t="s">
        <v>72</v>
      </c>
      <c r="F124" t="s">
        <v>412</v>
      </c>
      <c r="G124">
        <v>530</v>
      </c>
      <c r="H124" t="s">
        <v>62</v>
      </c>
      <c r="I124" t="s">
        <v>30</v>
      </c>
      <c r="J124" t="s">
        <v>31</v>
      </c>
      <c r="K124" s="4">
        <v>361.44</v>
      </c>
      <c r="L124" t="s">
        <v>413</v>
      </c>
      <c r="M124" s="1">
        <v>46898</v>
      </c>
      <c r="N124" t="s">
        <v>24</v>
      </c>
      <c r="O124" t="s">
        <v>25</v>
      </c>
    </row>
    <row r="125" spans="1:15" x14ac:dyDescent="0.25">
      <c r="A125" t="s">
        <v>414</v>
      </c>
      <c r="B125" t="s">
        <v>98</v>
      </c>
      <c r="C125">
        <v>1990</v>
      </c>
      <c r="D125" t="s">
        <v>66</v>
      </c>
      <c r="E125" t="s">
        <v>116</v>
      </c>
      <c r="F125" t="s">
        <v>415</v>
      </c>
      <c r="G125">
        <v>640</v>
      </c>
      <c r="H125" t="s">
        <v>38</v>
      </c>
      <c r="I125" t="s">
        <v>48</v>
      </c>
      <c r="J125" t="s">
        <v>49</v>
      </c>
      <c r="K125" s="4">
        <v>90.06</v>
      </c>
      <c r="L125" t="s">
        <v>416</v>
      </c>
      <c r="M125" s="1">
        <v>46898</v>
      </c>
      <c r="N125" t="s">
        <v>24</v>
      </c>
      <c r="O125" t="s">
        <v>33</v>
      </c>
    </row>
    <row r="126" spans="1:15" x14ac:dyDescent="0.25">
      <c r="A126" t="s">
        <v>417</v>
      </c>
      <c r="B126" t="s">
        <v>43</v>
      </c>
      <c r="C126">
        <v>2007</v>
      </c>
      <c r="D126" t="s">
        <v>83</v>
      </c>
      <c r="E126" t="s">
        <v>60</v>
      </c>
      <c r="F126" t="s">
        <v>418</v>
      </c>
      <c r="G126">
        <v>130</v>
      </c>
      <c r="H126" t="s">
        <v>85</v>
      </c>
      <c r="I126" t="s">
        <v>186</v>
      </c>
      <c r="J126" t="s">
        <v>146</v>
      </c>
      <c r="K126" s="4">
        <v>243.91</v>
      </c>
      <c r="L126" t="s">
        <v>419</v>
      </c>
      <c r="M126" s="1">
        <v>46896</v>
      </c>
      <c r="N126" t="s">
        <v>41</v>
      </c>
      <c r="O126" t="s">
        <v>33</v>
      </c>
    </row>
    <row r="127" spans="1:15" x14ac:dyDescent="0.25">
      <c r="A127" t="s">
        <v>420</v>
      </c>
      <c r="B127" t="s">
        <v>138</v>
      </c>
      <c r="C127">
        <v>1995</v>
      </c>
      <c r="D127" t="s">
        <v>36</v>
      </c>
      <c r="E127" t="s">
        <v>99</v>
      </c>
      <c r="F127" t="s">
        <v>421</v>
      </c>
      <c r="G127">
        <v>80</v>
      </c>
      <c r="H127" t="s">
        <v>38</v>
      </c>
      <c r="I127" t="s">
        <v>30</v>
      </c>
      <c r="J127" t="s">
        <v>31</v>
      </c>
      <c r="K127" s="4">
        <v>342.05</v>
      </c>
      <c r="L127" t="s">
        <v>422</v>
      </c>
      <c r="M127" s="1">
        <v>46112</v>
      </c>
      <c r="N127" t="s">
        <v>24</v>
      </c>
      <c r="O127" t="s">
        <v>25</v>
      </c>
    </row>
    <row r="128" spans="1:15" x14ac:dyDescent="0.25">
      <c r="A128" t="s">
        <v>423</v>
      </c>
      <c r="B128" t="s">
        <v>134</v>
      </c>
      <c r="C128">
        <v>2009</v>
      </c>
      <c r="D128" t="s">
        <v>27</v>
      </c>
      <c r="E128" t="s">
        <v>116</v>
      </c>
      <c r="F128" t="s">
        <v>424</v>
      </c>
      <c r="G128">
        <v>550</v>
      </c>
      <c r="H128" t="s">
        <v>20</v>
      </c>
      <c r="I128" t="s">
        <v>186</v>
      </c>
      <c r="J128" t="s">
        <v>146</v>
      </c>
      <c r="K128" s="4">
        <v>336.38</v>
      </c>
      <c r="L128" t="s">
        <v>425</v>
      </c>
      <c r="M128" s="1">
        <v>45966</v>
      </c>
      <c r="N128" t="s">
        <v>24</v>
      </c>
      <c r="O128" t="s">
        <v>33</v>
      </c>
    </row>
    <row r="129" spans="1:15" x14ac:dyDescent="0.25">
      <c r="A129" t="s">
        <v>426</v>
      </c>
      <c r="B129" t="s">
        <v>16</v>
      </c>
      <c r="C129">
        <v>2015</v>
      </c>
      <c r="D129" t="s">
        <v>36</v>
      </c>
      <c r="E129" t="s">
        <v>116</v>
      </c>
      <c r="F129" t="s">
        <v>90</v>
      </c>
      <c r="G129">
        <v>830</v>
      </c>
      <c r="H129" t="s">
        <v>85</v>
      </c>
      <c r="I129" t="s">
        <v>86</v>
      </c>
      <c r="J129" t="s">
        <v>63</v>
      </c>
      <c r="K129" s="4">
        <v>143.03</v>
      </c>
      <c r="L129" t="s">
        <v>427</v>
      </c>
      <c r="M129" s="1">
        <v>46764</v>
      </c>
      <c r="N129" t="s">
        <v>75</v>
      </c>
      <c r="O129" t="s">
        <v>33</v>
      </c>
    </row>
    <row r="130" spans="1:15" x14ac:dyDescent="0.25">
      <c r="A130" t="s">
        <v>428</v>
      </c>
      <c r="B130" t="s">
        <v>53</v>
      </c>
      <c r="C130">
        <v>2005</v>
      </c>
      <c r="D130" t="s">
        <v>71</v>
      </c>
      <c r="E130" t="s">
        <v>45</v>
      </c>
      <c r="F130" t="s">
        <v>128</v>
      </c>
      <c r="G130">
        <v>310</v>
      </c>
      <c r="H130" t="s">
        <v>56</v>
      </c>
      <c r="I130" t="s">
        <v>73</v>
      </c>
      <c r="J130" t="s">
        <v>125</v>
      </c>
      <c r="K130" s="4">
        <v>485.71</v>
      </c>
      <c r="L130" t="s">
        <v>429</v>
      </c>
      <c r="M130" s="1">
        <v>45905</v>
      </c>
      <c r="N130" t="s">
        <v>24</v>
      </c>
      <c r="O130" t="s">
        <v>33</v>
      </c>
    </row>
    <row r="131" spans="1:15" x14ac:dyDescent="0.25">
      <c r="A131" t="s">
        <v>430</v>
      </c>
      <c r="B131" t="s">
        <v>53</v>
      </c>
      <c r="C131">
        <v>1992</v>
      </c>
      <c r="D131" t="s">
        <v>108</v>
      </c>
      <c r="E131" t="s">
        <v>104</v>
      </c>
      <c r="F131" t="s">
        <v>431</v>
      </c>
      <c r="G131">
        <v>800</v>
      </c>
      <c r="H131" t="s">
        <v>62</v>
      </c>
      <c r="I131" t="s">
        <v>80</v>
      </c>
      <c r="J131" t="s">
        <v>101</v>
      </c>
      <c r="K131" s="4">
        <v>293.3</v>
      </c>
      <c r="L131" t="s">
        <v>432</v>
      </c>
      <c r="M131" s="1">
        <v>46627</v>
      </c>
      <c r="N131" t="s">
        <v>24</v>
      </c>
      <c r="O131" t="s">
        <v>51</v>
      </c>
    </row>
    <row r="132" spans="1:15" x14ac:dyDescent="0.25">
      <c r="A132" t="s">
        <v>433</v>
      </c>
      <c r="B132" t="s">
        <v>77</v>
      </c>
      <c r="C132">
        <v>1992</v>
      </c>
      <c r="D132" t="s">
        <v>27</v>
      </c>
      <c r="E132" t="s">
        <v>72</v>
      </c>
      <c r="F132" t="s">
        <v>434</v>
      </c>
      <c r="G132">
        <v>820</v>
      </c>
      <c r="H132" t="s">
        <v>47</v>
      </c>
      <c r="I132" t="s">
        <v>21</v>
      </c>
      <c r="J132" t="s">
        <v>22</v>
      </c>
      <c r="K132" s="4">
        <v>242.52</v>
      </c>
      <c r="L132" t="s">
        <v>435</v>
      </c>
      <c r="M132" s="1">
        <v>46878</v>
      </c>
      <c r="N132" t="s">
        <v>41</v>
      </c>
      <c r="O132" t="s">
        <v>25</v>
      </c>
    </row>
    <row r="133" spans="1:15" x14ac:dyDescent="0.25">
      <c r="A133" t="s">
        <v>436</v>
      </c>
      <c r="B133" t="s">
        <v>16</v>
      </c>
      <c r="C133">
        <v>2008</v>
      </c>
      <c r="D133" t="s">
        <v>66</v>
      </c>
      <c r="E133" t="s">
        <v>78</v>
      </c>
      <c r="F133" t="s">
        <v>145</v>
      </c>
      <c r="G133">
        <v>240</v>
      </c>
      <c r="H133" t="s">
        <v>47</v>
      </c>
      <c r="I133" t="s">
        <v>80</v>
      </c>
      <c r="J133" t="s">
        <v>31</v>
      </c>
      <c r="K133" s="4">
        <v>446.45</v>
      </c>
      <c r="L133" t="s">
        <v>437</v>
      </c>
      <c r="M133" s="1">
        <v>46769</v>
      </c>
      <c r="N133" t="s">
        <v>41</v>
      </c>
      <c r="O133" t="s">
        <v>25</v>
      </c>
    </row>
    <row r="134" spans="1:15" x14ac:dyDescent="0.25">
      <c r="A134" t="s">
        <v>438</v>
      </c>
      <c r="B134" t="s">
        <v>134</v>
      </c>
      <c r="C134">
        <v>2008</v>
      </c>
      <c r="D134" t="s">
        <v>27</v>
      </c>
      <c r="E134" t="s">
        <v>45</v>
      </c>
      <c r="F134" t="s">
        <v>439</v>
      </c>
      <c r="G134">
        <v>520</v>
      </c>
      <c r="H134" t="s">
        <v>47</v>
      </c>
      <c r="I134" t="s">
        <v>21</v>
      </c>
      <c r="J134" t="s">
        <v>31</v>
      </c>
      <c r="K134" s="4">
        <v>20.190000000000001</v>
      </c>
      <c r="L134" t="s">
        <v>440</v>
      </c>
      <c r="M134" s="1">
        <v>46263</v>
      </c>
      <c r="N134" t="s">
        <v>24</v>
      </c>
      <c r="O134" t="s">
        <v>33</v>
      </c>
    </row>
    <row r="135" spans="1:15" x14ac:dyDescent="0.25">
      <c r="A135" t="s">
        <v>441</v>
      </c>
      <c r="B135" t="s">
        <v>77</v>
      </c>
      <c r="C135">
        <v>1997</v>
      </c>
      <c r="D135" t="s">
        <v>44</v>
      </c>
      <c r="E135" t="s">
        <v>54</v>
      </c>
      <c r="F135" t="s">
        <v>79</v>
      </c>
      <c r="G135">
        <v>630</v>
      </c>
      <c r="H135" t="s">
        <v>47</v>
      </c>
      <c r="I135" t="s">
        <v>86</v>
      </c>
      <c r="J135" t="s">
        <v>49</v>
      </c>
      <c r="K135" s="4">
        <v>337.94</v>
      </c>
      <c r="L135" t="s">
        <v>442</v>
      </c>
      <c r="M135" s="1">
        <v>46219</v>
      </c>
      <c r="N135" t="s">
        <v>24</v>
      </c>
      <c r="O135" t="s">
        <v>33</v>
      </c>
    </row>
    <row r="136" spans="1:15" x14ac:dyDescent="0.25">
      <c r="A136" t="s">
        <v>443</v>
      </c>
      <c r="B136" t="s">
        <v>53</v>
      </c>
      <c r="C136">
        <v>1994</v>
      </c>
      <c r="D136" t="s">
        <v>95</v>
      </c>
      <c r="E136" t="s">
        <v>60</v>
      </c>
      <c r="F136" t="s">
        <v>444</v>
      </c>
      <c r="G136">
        <v>670</v>
      </c>
      <c r="H136" t="s">
        <v>56</v>
      </c>
      <c r="I136" t="s">
        <v>186</v>
      </c>
      <c r="J136" t="s">
        <v>121</v>
      </c>
      <c r="K136" s="4">
        <v>299.11</v>
      </c>
      <c r="L136" t="s">
        <v>445</v>
      </c>
      <c r="M136" s="1">
        <v>46963</v>
      </c>
      <c r="N136" t="s">
        <v>75</v>
      </c>
      <c r="O136" t="s">
        <v>51</v>
      </c>
    </row>
    <row r="137" spans="1:15" x14ac:dyDescent="0.25">
      <c r="A137" t="s">
        <v>446</v>
      </c>
      <c r="B137" t="s">
        <v>35</v>
      </c>
      <c r="C137">
        <v>1999</v>
      </c>
      <c r="D137" t="s">
        <v>17</v>
      </c>
      <c r="E137" t="s">
        <v>18</v>
      </c>
      <c r="F137" t="s">
        <v>139</v>
      </c>
      <c r="G137">
        <v>770</v>
      </c>
      <c r="H137" t="s">
        <v>29</v>
      </c>
      <c r="I137" t="s">
        <v>80</v>
      </c>
      <c r="J137" t="s">
        <v>146</v>
      </c>
      <c r="K137" s="4">
        <v>379.85</v>
      </c>
      <c r="L137" t="s">
        <v>447</v>
      </c>
      <c r="M137" s="1">
        <v>46379</v>
      </c>
      <c r="N137" t="s">
        <v>24</v>
      </c>
      <c r="O137" t="s">
        <v>25</v>
      </c>
    </row>
    <row r="138" spans="1:15" x14ac:dyDescent="0.25">
      <c r="A138" t="s">
        <v>448</v>
      </c>
      <c r="B138" t="s">
        <v>138</v>
      </c>
      <c r="C138">
        <v>1996</v>
      </c>
      <c r="D138" t="s">
        <v>95</v>
      </c>
      <c r="E138" t="s">
        <v>72</v>
      </c>
      <c r="F138" t="s">
        <v>67</v>
      </c>
      <c r="G138">
        <v>10</v>
      </c>
      <c r="H138" t="s">
        <v>56</v>
      </c>
      <c r="I138" t="s">
        <v>30</v>
      </c>
      <c r="J138" t="s">
        <v>92</v>
      </c>
      <c r="K138" s="4">
        <v>156.78</v>
      </c>
      <c r="L138" t="s">
        <v>449</v>
      </c>
      <c r="M138" s="1">
        <v>46933</v>
      </c>
      <c r="N138" t="s">
        <v>24</v>
      </c>
      <c r="O138" t="s">
        <v>33</v>
      </c>
    </row>
    <row r="139" spans="1:15" x14ac:dyDescent="0.25">
      <c r="A139" t="s">
        <v>450</v>
      </c>
      <c r="B139" t="s">
        <v>138</v>
      </c>
      <c r="C139">
        <v>1994</v>
      </c>
      <c r="D139" t="s">
        <v>83</v>
      </c>
      <c r="E139" t="s">
        <v>60</v>
      </c>
      <c r="F139" t="s">
        <v>180</v>
      </c>
      <c r="G139">
        <v>900</v>
      </c>
      <c r="H139" t="s">
        <v>85</v>
      </c>
      <c r="I139" t="s">
        <v>39</v>
      </c>
      <c r="J139" t="s">
        <v>101</v>
      </c>
      <c r="K139" s="4">
        <v>425.6</v>
      </c>
      <c r="L139" t="s">
        <v>451</v>
      </c>
      <c r="M139" s="1">
        <v>46912</v>
      </c>
      <c r="N139" t="s">
        <v>41</v>
      </c>
      <c r="O139" t="s">
        <v>33</v>
      </c>
    </row>
    <row r="140" spans="1:15" x14ac:dyDescent="0.25">
      <c r="A140" t="s">
        <v>452</v>
      </c>
      <c r="B140" t="s">
        <v>98</v>
      </c>
      <c r="C140">
        <v>2011</v>
      </c>
      <c r="D140" t="s">
        <v>36</v>
      </c>
      <c r="E140" t="s">
        <v>116</v>
      </c>
      <c r="F140" t="s">
        <v>453</v>
      </c>
      <c r="G140">
        <v>70</v>
      </c>
      <c r="H140" t="s">
        <v>85</v>
      </c>
      <c r="I140" t="s">
        <v>73</v>
      </c>
      <c r="J140" t="s">
        <v>31</v>
      </c>
      <c r="K140" s="4">
        <v>377.24</v>
      </c>
      <c r="L140" t="s">
        <v>454</v>
      </c>
      <c r="M140" s="1">
        <v>46806</v>
      </c>
      <c r="N140" t="s">
        <v>24</v>
      </c>
      <c r="O140" t="s">
        <v>51</v>
      </c>
    </row>
    <row r="141" spans="1:15" x14ac:dyDescent="0.25">
      <c r="A141" t="s">
        <v>455</v>
      </c>
      <c r="B141" t="s">
        <v>138</v>
      </c>
      <c r="C141">
        <v>2021</v>
      </c>
      <c r="D141" t="s">
        <v>66</v>
      </c>
      <c r="E141" t="s">
        <v>18</v>
      </c>
      <c r="F141" t="s">
        <v>162</v>
      </c>
      <c r="G141">
        <v>90</v>
      </c>
      <c r="H141" t="s">
        <v>38</v>
      </c>
      <c r="I141" t="s">
        <v>30</v>
      </c>
      <c r="J141" t="s">
        <v>101</v>
      </c>
      <c r="K141" s="4">
        <v>4.9000000000000004</v>
      </c>
      <c r="L141" t="s">
        <v>456</v>
      </c>
      <c r="M141" s="1">
        <v>46565</v>
      </c>
      <c r="N141" t="s">
        <v>75</v>
      </c>
      <c r="O141" t="s">
        <v>25</v>
      </c>
    </row>
    <row r="142" spans="1:15" x14ac:dyDescent="0.25">
      <c r="A142" t="s">
        <v>457</v>
      </c>
      <c r="B142" t="s">
        <v>77</v>
      </c>
      <c r="C142">
        <v>2010</v>
      </c>
      <c r="D142" t="s">
        <v>83</v>
      </c>
      <c r="E142" t="s">
        <v>72</v>
      </c>
      <c r="F142" t="s">
        <v>458</v>
      </c>
      <c r="G142">
        <v>930</v>
      </c>
      <c r="H142" t="s">
        <v>56</v>
      </c>
      <c r="I142" t="s">
        <v>186</v>
      </c>
      <c r="J142" t="s">
        <v>146</v>
      </c>
      <c r="K142" s="4">
        <v>12.18</v>
      </c>
      <c r="L142" t="s">
        <v>459</v>
      </c>
      <c r="M142" s="1">
        <v>46705</v>
      </c>
      <c r="N142" t="s">
        <v>24</v>
      </c>
      <c r="O142" t="s">
        <v>51</v>
      </c>
    </row>
    <row r="143" spans="1:15" x14ac:dyDescent="0.25">
      <c r="A143" t="s">
        <v>460</v>
      </c>
      <c r="B143" t="s">
        <v>35</v>
      </c>
      <c r="C143">
        <v>2010</v>
      </c>
      <c r="D143" t="s">
        <v>71</v>
      </c>
      <c r="E143" t="s">
        <v>45</v>
      </c>
      <c r="F143" t="s">
        <v>162</v>
      </c>
      <c r="G143">
        <v>840</v>
      </c>
      <c r="H143" t="s">
        <v>47</v>
      </c>
      <c r="I143" t="s">
        <v>30</v>
      </c>
      <c r="J143" t="s">
        <v>92</v>
      </c>
      <c r="K143" s="4">
        <v>2.62</v>
      </c>
      <c r="L143" t="s">
        <v>461</v>
      </c>
      <c r="M143" s="1">
        <v>46063</v>
      </c>
      <c r="N143" t="s">
        <v>41</v>
      </c>
      <c r="O143" t="s">
        <v>33</v>
      </c>
    </row>
    <row r="144" spans="1:15" x14ac:dyDescent="0.25">
      <c r="A144" t="s">
        <v>462</v>
      </c>
      <c r="B144" t="s">
        <v>77</v>
      </c>
      <c r="C144">
        <v>2022</v>
      </c>
      <c r="D144" t="s">
        <v>83</v>
      </c>
      <c r="E144" t="s">
        <v>119</v>
      </c>
      <c r="F144" t="s">
        <v>463</v>
      </c>
      <c r="G144">
        <v>990</v>
      </c>
      <c r="H144" t="s">
        <v>20</v>
      </c>
      <c r="I144" t="s">
        <v>91</v>
      </c>
      <c r="J144" t="s">
        <v>101</v>
      </c>
      <c r="K144" s="4">
        <v>378.38</v>
      </c>
      <c r="L144" t="s">
        <v>464</v>
      </c>
      <c r="M144" s="1">
        <v>45876</v>
      </c>
      <c r="N144" t="s">
        <v>75</v>
      </c>
      <c r="O144" t="s">
        <v>25</v>
      </c>
    </row>
    <row r="145" spans="1:15" x14ac:dyDescent="0.25">
      <c r="A145" t="s">
        <v>465</v>
      </c>
      <c r="B145" t="s">
        <v>77</v>
      </c>
      <c r="C145">
        <v>2019</v>
      </c>
      <c r="D145" t="s">
        <v>36</v>
      </c>
      <c r="E145" t="s">
        <v>78</v>
      </c>
      <c r="F145" t="s">
        <v>250</v>
      </c>
      <c r="G145">
        <v>890</v>
      </c>
      <c r="H145" t="s">
        <v>56</v>
      </c>
      <c r="I145" t="s">
        <v>48</v>
      </c>
      <c r="J145" t="s">
        <v>101</v>
      </c>
      <c r="K145" s="4">
        <v>104.92</v>
      </c>
      <c r="L145" t="s">
        <v>466</v>
      </c>
      <c r="M145" s="1">
        <v>45915</v>
      </c>
      <c r="N145" t="s">
        <v>24</v>
      </c>
      <c r="O145" t="s">
        <v>25</v>
      </c>
    </row>
    <row r="146" spans="1:15" x14ac:dyDescent="0.25">
      <c r="A146" t="s">
        <v>467</v>
      </c>
      <c r="B146" t="s">
        <v>70</v>
      </c>
      <c r="C146">
        <v>2007</v>
      </c>
      <c r="D146" t="s">
        <v>71</v>
      </c>
      <c r="E146" t="s">
        <v>116</v>
      </c>
      <c r="F146" t="s">
        <v>145</v>
      </c>
      <c r="G146">
        <v>660</v>
      </c>
      <c r="H146" t="s">
        <v>56</v>
      </c>
      <c r="I146" t="s">
        <v>186</v>
      </c>
      <c r="J146" t="s">
        <v>92</v>
      </c>
      <c r="K146" s="4">
        <v>322.8</v>
      </c>
      <c r="L146" t="s">
        <v>468</v>
      </c>
      <c r="M146" s="1">
        <v>46466</v>
      </c>
      <c r="N146" t="s">
        <v>75</v>
      </c>
      <c r="O146" t="s">
        <v>51</v>
      </c>
    </row>
    <row r="147" spans="1:15" x14ac:dyDescent="0.25">
      <c r="A147" t="s">
        <v>469</v>
      </c>
      <c r="B147" t="s">
        <v>43</v>
      </c>
      <c r="C147">
        <v>2015</v>
      </c>
      <c r="D147" t="s">
        <v>95</v>
      </c>
      <c r="E147" t="s">
        <v>99</v>
      </c>
      <c r="F147" t="s">
        <v>470</v>
      </c>
      <c r="G147">
        <v>760</v>
      </c>
      <c r="H147" t="s">
        <v>85</v>
      </c>
      <c r="I147" t="s">
        <v>73</v>
      </c>
      <c r="J147" t="s">
        <v>146</v>
      </c>
      <c r="K147" s="4">
        <v>130.44</v>
      </c>
      <c r="L147" t="s">
        <v>471</v>
      </c>
      <c r="M147" s="1">
        <v>46962</v>
      </c>
      <c r="N147" t="s">
        <v>75</v>
      </c>
      <c r="O147" t="s">
        <v>51</v>
      </c>
    </row>
    <row r="148" spans="1:15" x14ac:dyDescent="0.25">
      <c r="A148" t="s">
        <v>472</v>
      </c>
      <c r="B148" t="s">
        <v>77</v>
      </c>
      <c r="C148">
        <v>1995</v>
      </c>
      <c r="D148" t="s">
        <v>44</v>
      </c>
      <c r="E148" t="s">
        <v>78</v>
      </c>
      <c r="F148" t="s">
        <v>250</v>
      </c>
      <c r="G148">
        <v>640</v>
      </c>
      <c r="H148" t="s">
        <v>85</v>
      </c>
      <c r="I148" t="s">
        <v>151</v>
      </c>
      <c r="J148" t="s">
        <v>31</v>
      </c>
      <c r="K148" s="4">
        <v>447.34</v>
      </c>
      <c r="L148" t="s">
        <v>473</v>
      </c>
      <c r="M148" s="1">
        <v>46678</v>
      </c>
      <c r="N148" t="s">
        <v>24</v>
      </c>
      <c r="O148" t="s">
        <v>25</v>
      </c>
    </row>
    <row r="149" spans="1:15" x14ac:dyDescent="0.25">
      <c r="A149" t="s">
        <v>474</v>
      </c>
      <c r="B149" t="s">
        <v>16</v>
      </c>
      <c r="C149">
        <v>2006</v>
      </c>
      <c r="D149" t="s">
        <v>17</v>
      </c>
      <c r="E149" t="s">
        <v>72</v>
      </c>
      <c r="F149" t="s">
        <v>208</v>
      </c>
      <c r="G149">
        <v>540</v>
      </c>
      <c r="H149" t="s">
        <v>38</v>
      </c>
      <c r="I149" t="s">
        <v>48</v>
      </c>
      <c r="J149" t="s">
        <v>146</v>
      </c>
      <c r="K149" s="4">
        <v>175.81</v>
      </c>
      <c r="L149" t="s">
        <v>475</v>
      </c>
      <c r="M149" s="1">
        <v>46749</v>
      </c>
      <c r="N149" t="s">
        <v>41</v>
      </c>
      <c r="O149" t="s">
        <v>51</v>
      </c>
    </row>
    <row r="150" spans="1:15" x14ac:dyDescent="0.25">
      <c r="A150" t="s">
        <v>476</v>
      </c>
      <c r="B150" t="s">
        <v>43</v>
      </c>
      <c r="C150">
        <v>1995</v>
      </c>
      <c r="D150" t="s">
        <v>108</v>
      </c>
      <c r="E150" t="s">
        <v>72</v>
      </c>
      <c r="F150" t="s">
        <v>208</v>
      </c>
      <c r="G150">
        <v>520</v>
      </c>
      <c r="H150" t="s">
        <v>56</v>
      </c>
      <c r="I150" t="s">
        <v>80</v>
      </c>
      <c r="J150" t="s">
        <v>146</v>
      </c>
      <c r="K150" s="4">
        <v>280.68</v>
      </c>
      <c r="L150" t="s">
        <v>477</v>
      </c>
      <c r="M150" s="1">
        <v>46424</v>
      </c>
      <c r="N150" t="s">
        <v>41</v>
      </c>
      <c r="O150" t="s">
        <v>33</v>
      </c>
    </row>
    <row r="151" spans="1:15" x14ac:dyDescent="0.25">
      <c r="A151" t="s">
        <v>478</v>
      </c>
      <c r="B151" t="s">
        <v>70</v>
      </c>
      <c r="C151">
        <v>2005</v>
      </c>
      <c r="D151" t="s">
        <v>83</v>
      </c>
      <c r="E151" t="s">
        <v>54</v>
      </c>
      <c r="F151" t="s">
        <v>208</v>
      </c>
      <c r="G151">
        <v>440</v>
      </c>
      <c r="H151" t="s">
        <v>56</v>
      </c>
      <c r="I151" t="s">
        <v>39</v>
      </c>
      <c r="J151" t="s">
        <v>22</v>
      </c>
      <c r="K151" s="4">
        <v>116.08</v>
      </c>
      <c r="L151" t="s">
        <v>479</v>
      </c>
      <c r="M151" s="1">
        <v>46262</v>
      </c>
      <c r="N151" t="s">
        <v>41</v>
      </c>
      <c r="O151" t="s">
        <v>51</v>
      </c>
    </row>
    <row r="152" spans="1:15" x14ac:dyDescent="0.25">
      <c r="A152" t="s">
        <v>480</v>
      </c>
      <c r="B152" t="s">
        <v>70</v>
      </c>
      <c r="C152">
        <v>2004</v>
      </c>
      <c r="D152" t="s">
        <v>17</v>
      </c>
      <c r="E152" t="s">
        <v>78</v>
      </c>
      <c r="F152" t="s">
        <v>145</v>
      </c>
      <c r="G152">
        <v>320</v>
      </c>
      <c r="H152" t="s">
        <v>47</v>
      </c>
      <c r="I152" t="s">
        <v>80</v>
      </c>
      <c r="J152" t="s">
        <v>110</v>
      </c>
      <c r="K152" s="4">
        <v>59.35</v>
      </c>
      <c r="L152" t="s">
        <v>481</v>
      </c>
      <c r="M152" s="1">
        <v>46345</v>
      </c>
      <c r="N152" t="s">
        <v>75</v>
      </c>
      <c r="O152" t="s">
        <v>51</v>
      </c>
    </row>
    <row r="153" spans="1:15" x14ac:dyDescent="0.25">
      <c r="A153" t="s">
        <v>482</v>
      </c>
      <c r="B153" t="s">
        <v>16</v>
      </c>
      <c r="C153">
        <v>2002</v>
      </c>
      <c r="D153" t="s">
        <v>27</v>
      </c>
      <c r="E153" t="s">
        <v>116</v>
      </c>
      <c r="F153" t="s">
        <v>483</v>
      </c>
      <c r="G153">
        <v>10</v>
      </c>
      <c r="H153" t="s">
        <v>62</v>
      </c>
      <c r="I153" t="s">
        <v>48</v>
      </c>
      <c r="J153" t="s">
        <v>63</v>
      </c>
      <c r="K153" s="4">
        <v>433.79</v>
      </c>
      <c r="L153" t="s">
        <v>484</v>
      </c>
      <c r="M153" s="1">
        <v>46049</v>
      </c>
      <c r="N153" t="s">
        <v>24</v>
      </c>
      <c r="O153" t="s">
        <v>33</v>
      </c>
    </row>
    <row r="154" spans="1:15" x14ac:dyDescent="0.25">
      <c r="A154" t="s">
        <v>485</v>
      </c>
      <c r="B154" t="s">
        <v>134</v>
      </c>
      <c r="C154">
        <v>2006</v>
      </c>
      <c r="D154" t="s">
        <v>89</v>
      </c>
      <c r="E154" t="s">
        <v>99</v>
      </c>
      <c r="F154" t="s">
        <v>79</v>
      </c>
      <c r="G154">
        <v>510</v>
      </c>
      <c r="H154" t="s">
        <v>29</v>
      </c>
      <c r="I154" t="s">
        <v>30</v>
      </c>
      <c r="J154" t="s">
        <v>49</v>
      </c>
      <c r="K154" s="4">
        <v>289.74</v>
      </c>
      <c r="L154" t="s">
        <v>486</v>
      </c>
      <c r="M154" s="1">
        <v>46674</v>
      </c>
      <c r="N154" t="s">
        <v>41</v>
      </c>
      <c r="O154" t="s">
        <v>33</v>
      </c>
    </row>
    <row r="155" spans="1:15" x14ac:dyDescent="0.25">
      <c r="A155" t="s">
        <v>487</v>
      </c>
      <c r="B155" t="s">
        <v>35</v>
      </c>
      <c r="C155">
        <v>2007</v>
      </c>
      <c r="D155" t="s">
        <v>17</v>
      </c>
      <c r="E155" t="s">
        <v>54</v>
      </c>
      <c r="F155" t="s">
        <v>180</v>
      </c>
      <c r="G155">
        <v>480</v>
      </c>
      <c r="H155" t="s">
        <v>29</v>
      </c>
      <c r="I155" t="s">
        <v>39</v>
      </c>
      <c r="J155" t="s">
        <v>31</v>
      </c>
      <c r="K155" s="4">
        <v>132.04</v>
      </c>
      <c r="L155" t="s">
        <v>488</v>
      </c>
      <c r="M155" s="1">
        <v>46897</v>
      </c>
      <c r="N155" t="s">
        <v>41</v>
      </c>
      <c r="O155" t="s">
        <v>51</v>
      </c>
    </row>
    <row r="156" spans="1:15" x14ac:dyDescent="0.25">
      <c r="A156" t="s">
        <v>489</v>
      </c>
      <c r="B156" t="s">
        <v>77</v>
      </c>
      <c r="C156">
        <v>2017</v>
      </c>
      <c r="D156" t="s">
        <v>44</v>
      </c>
      <c r="E156" t="s">
        <v>54</v>
      </c>
      <c r="F156" t="s">
        <v>490</v>
      </c>
      <c r="G156">
        <v>410</v>
      </c>
      <c r="H156" t="s">
        <v>20</v>
      </c>
      <c r="I156" t="s">
        <v>30</v>
      </c>
      <c r="J156" t="s">
        <v>121</v>
      </c>
      <c r="K156" s="4">
        <v>322.74</v>
      </c>
      <c r="L156" t="s">
        <v>491</v>
      </c>
      <c r="M156" s="1">
        <v>46139</v>
      </c>
      <c r="N156" t="s">
        <v>41</v>
      </c>
      <c r="O156" t="s">
        <v>33</v>
      </c>
    </row>
    <row r="157" spans="1:15" x14ac:dyDescent="0.25">
      <c r="A157" t="s">
        <v>492</v>
      </c>
      <c r="B157" t="s">
        <v>70</v>
      </c>
      <c r="C157">
        <v>2017</v>
      </c>
      <c r="D157" t="s">
        <v>108</v>
      </c>
      <c r="E157" t="s">
        <v>99</v>
      </c>
      <c r="F157" t="s">
        <v>493</v>
      </c>
      <c r="G157">
        <v>530</v>
      </c>
      <c r="H157" t="s">
        <v>62</v>
      </c>
      <c r="I157" t="s">
        <v>30</v>
      </c>
      <c r="J157" t="s">
        <v>110</v>
      </c>
      <c r="K157" s="4">
        <v>442.39</v>
      </c>
      <c r="L157" t="s">
        <v>494</v>
      </c>
      <c r="M157" s="1">
        <v>46809</v>
      </c>
      <c r="N157" t="s">
        <v>24</v>
      </c>
      <c r="O157" t="s">
        <v>25</v>
      </c>
    </row>
    <row r="158" spans="1:15" x14ac:dyDescent="0.25">
      <c r="A158" t="s">
        <v>495</v>
      </c>
      <c r="B158" t="s">
        <v>43</v>
      </c>
      <c r="C158">
        <v>2012</v>
      </c>
      <c r="D158" t="s">
        <v>108</v>
      </c>
      <c r="E158" t="s">
        <v>45</v>
      </c>
      <c r="F158" t="s">
        <v>496</v>
      </c>
      <c r="G158">
        <v>160</v>
      </c>
      <c r="H158" t="s">
        <v>20</v>
      </c>
      <c r="I158" t="s">
        <v>73</v>
      </c>
      <c r="J158" t="s">
        <v>125</v>
      </c>
      <c r="K158" s="4">
        <v>280.08999999999997</v>
      </c>
      <c r="L158" t="s">
        <v>497</v>
      </c>
      <c r="M158" s="1">
        <v>45961</v>
      </c>
      <c r="N158" t="s">
        <v>41</v>
      </c>
      <c r="O158" t="s">
        <v>25</v>
      </c>
    </row>
    <row r="159" spans="1:15" x14ac:dyDescent="0.25">
      <c r="A159" t="s">
        <v>498</v>
      </c>
      <c r="B159" t="s">
        <v>43</v>
      </c>
      <c r="C159">
        <v>2017</v>
      </c>
      <c r="D159" t="s">
        <v>44</v>
      </c>
      <c r="E159" t="s">
        <v>116</v>
      </c>
      <c r="F159" t="s">
        <v>499</v>
      </c>
      <c r="G159">
        <v>130</v>
      </c>
      <c r="H159" t="s">
        <v>47</v>
      </c>
      <c r="I159" t="s">
        <v>30</v>
      </c>
      <c r="J159" t="s">
        <v>31</v>
      </c>
      <c r="K159" s="4">
        <v>175.42</v>
      </c>
      <c r="L159" t="s">
        <v>500</v>
      </c>
      <c r="M159" s="1">
        <v>46389</v>
      </c>
      <c r="N159" t="s">
        <v>41</v>
      </c>
      <c r="O159" t="s">
        <v>51</v>
      </c>
    </row>
    <row r="160" spans="1:15" x14ac:dyDescent="0.25">
      <c r="A160" t="s">
        <v>501</v>
      </c>
      <c r="B160" t="s">
        <v>43</v>
      </c>
      <c r="C160">
        <v>2016</v>
      </c>
      <c r="D160" t="s">
        <v>83</v>
      </c>
      <c r="E160" t="s">
        <v>78</v>
      </c>
      <c r="F160" t="s">
        <v>502</v>
      </c>
      <c r="G160">
        <v>500</v>
      </c>
      <c r="H160" t="s">
        <v>62</v>
      </c>
      <c r="I160" t="s">
        <v>91</v>
      </c>
      <c r="J160" t="s">
        <v>101</v>
      </c>
      <c r="K160" s="4">
        <v>293.08</v>
      </c>
      <c r="L160" t="s">
        <v>503</v>
      </c>
      <c r="M160" s="1">
        <v>46643</v>
      </c>
      <c r="N160" t="s">
        <v>24</v>
      </c>
      <c r="O160" t="s">
        <v>33</v>
      </c>
    </row>
    <row r="161" spans="1:15" x14ac:dyDescent="0.25">
      <c r="A161" t="s">
        <v>504</v>
      </c>
      <c r="B161" t="s">
        <v>134</v>
      </c>
      <c r="C161">
        <v>2009</v>
      </c>
      <c r="D161" t="s">
        <v>95</v>
      </c>
      <c r="E161" t="s">
        <v>119</v>
      </c>
      <c r="F161" t="s">
        <v>505</v>
      </c>
      <c r="G161">
        <v>730</v>
      </c>
      <c r="H161" t="s">
        <v>47</v>
      </c>
      <c r="I161" t="s">
        <v>86</v>
      </c>
      <c r="J161" t="s">
        <v>49</v>
      </c>
      <c r="K161" s="4">
        <v>371.49</v>
      </c>
      <c r="L161" t="s">
        <v>506</v>
      </c>
      <c r="M161" s="1">
        <v>45991</v>
      </c>
      <c r="N161" t="s">
        <v>24</v>
      </c>
      <c r="O161" t="s">
        <v>25</v>
      </c>
    </row>
    <row r="162" spans="1:15" x14ac:dyDescent="0.25">
      <c r="A162" t="s">
        <v>507</v>
      </c>
      <c r="B162" t="s">
        <v>43</v>
      </c>
      <c r="C162">
        <v>2000</v>
      </c>
      <c r="D162" t="s">
        <v>89</v>
      </c>
      <c r="E162" t="s">
        <v>78</v>
      </c>
      <c r="F162" t="s">
        <v>28</v>
      </c>
      <c r="G162">
        <v>810</v>
      </c>
      <c r="H162" t="s">
        <v>20</v>
      </c>
      <c r="I162" t="s">
        <v>151</v>
      </c>
      <c r="J162" t="s">
        <v>22</v>
      </c>
      <c r="K162" s="4">
        <v>268.31</v>
      </c>
      <c r="L162" t="s">
        <v>508</v>
      </c>
      <c r="M162" s="1">
        <v>46505</v>
      </c>
      <c r="N162" t="s">
        <v>41</v>
      </c>
      <c r="O162" t="s">
        <v>51</v>
      </c>
    </row>
    <row r="163" spans="1:15" x14ac:dyDescent="0.25">
      <c r="A163" t="s">
        <v>509</v>
      </c>
      <c r="B163" t="s">
        <v>70</v>
      </c>
      <c r="C163">
        <v>1998</v>
      </c>
      <c r="D163" t="s">
        <v>66</v>
      </c>
      <c r="E163" t="s">
        <v>60</v>
      </c>
      <c r="F163" t="s">
        <v>510</v>
      </c>
      <c r="G163">
        <v>890</v>
      </c>
      <c r="H163" t="s">
        <v>29</v>
      </c>
      <c r="I163" t="s">
        <v>80</v>
      </c>
      <c r="J163" t="s">
        <v>125</v>
      </c>
      <c r="K163" s="4">
        <v>356.29</v>
      </c>
      <c r="L163" t="s">
        <v>511</v>
      </c>
      <c r="M163" s="1">
        <v>46341</v>
      </c>
      <c r="N163" t="s">
        <v>75</v>
      </c>
      <c r="O163" t="s">
        <v>33</v>
      </c>
    </row>
    <row r="164" spans="1:15" x14ac:dyDescent="0.25">
      <c r="A164" t="s">
        <v>512</v>
      </c>
      <c r="B164" t="s">
        <v>70</v>
      </c>
      <c r="C164">
        <v>2001</v>
      </c>
      <c r="D164" t="s">
        <v>27</v>
      </c>
      <c r="E164" t="s">
        <v>45</v>
      </c>
      <c r="F164" t="s">
        <v>513</v>
      </c>
      <c r="G164">
        <v>350</v>
      </c>
      <c r="H164" t="s">
        <v>56</v>
      </c>
      <c r="I164" t="s">
        <v>86</v>
      </c>
      <c r="J164" t="s">
        <v>63</v>
      </c>
      <c r="K164" s="4">
        <v>95.29</v>
      </c>
      <c r="L164" t="s">
        <v>514</v>
      </c>
      <c r="M164" s="1">
        <v>46085</v>
      </c>
      <c r="N164" t="s">
        <v>24</v>
      </c>
      <c r="O164" t="s">
        <v>33</v>
      </c>
    </row>
    <row r="165" spans="1:15" x14ac:dyDescent="0.25">
      <c r="A165" t="s">
        <v>515</v>
      </c>
      <c r="B165" t="s">
        <v>98</v>
      </c>
      <c r="C165">
        <v>1998</v>
      </c>
      <c r="D165" t="s">
        <v>36</v>
      </c>
      <c r="E165" t="s">
        <v>99</v>
      </c>
      <c r="F165" t="s">
        <v>139</v>
      </c>
      <c r="G165">
        <v>220</v>
      </c>
      <c r="H165" t="s">
        <v>47</v>
      </c>
      <c r="I165" t="s">
        <v>73</v>
      </c>
      <c r="J165" t="s">
        <v>110</v>
      </c>
      <c r="K165" s="4">
        <v>57.66</v>
      </c>
      <c r="L165" t="s">
        <v>516</v>
      </c>
      <c r="M165" s="1">
        <v>46643</v>
      </c>
      <c r="N165" t="s">
        <v>24</v>
      </c>
      <c r="O165" t="s">
        <v>33</v>
      </c>
    </row>
    <row r="166" spans="1:15" x14ac:dyDescent="0.25">
      <c r="A166" t="s">
        <v>517</v>
      </c>
      <c r="B166" t="s">
        <v>16</v>
      </c>
      <c r="C166">
        <v>2014</v>
      </c>
      <c r="D166" t="s">
        <v>27</v>
      </c>
      <c r="E166" t="s">
        <v>116</v>
      </c>
      <c r="F166" t="s">
        <v>250</v>
      </c>
      <c r="G166">
        <v>270</v>
      </c>
      <c r="H166" t="s">
        <v>20</v>
      </c>
      <c r="I166" t="s">
        <v>30</v>
      </c>
      <c r="J166" t="s">
        <v>31</v>
      </c>
      <c r="K166" s="4">
        <v>242.68</v>
      </c>
      <c r="L166" t="s">
        <v>518</v>
      </c>
      <c r="M166" s="1">
        <v>46958</v>
      </c>
      <c r="N166" t="s">
        <v>24</v>
      </c>
      <c r="O166" t="s">
        <v>33</v>
      </c>
    </row>
    <row r="167" spans="1:15" x14ac:dyDescent="0.25">
      <c r="A167" t="s">
        <v>519</v>
      </c>
      <c r="B167" t="s">
        <v>77</v>
      </c>
      <c r="C167">
        <v>2020</v>
      </c>
      <c r="D167" t="s">
        <v>89</v>
      </c>
      <c r="E167" t="s">
        <v>99</v>
      </c>
      <c r="F167" t="s">
        <v>520</v>
      </c>
      <c r="G167">
        <v>520</v>
      </c>
      <c r="H167" t="s">
        <v>56</v>
      </c>
      <c r="I167" t="s">
        <v>39</v>
      </c>
      <c r="J167" t="s">
        <v>63</v>
      </c>
      <c r="K167" s="4">
        <v>269.56</v>
      </c>
      <c r="L167" t="s">
        <v>521</v>
      </c>
      <c r="M167" s="1">
        <v>46725</v>
      </c>
      <c r="N167" t="s">
        <v>41</v>
      </c>
      <c r="O167" t="s">
        <v>25</v>
      </c>
    </row>
    <row r="168" spans="1:15" x14ac:dyDescent="0.25">
      <c r="A168" t="s">
        <v>522</v>
      </c>
      <c r="B168" t="s">
        <v>138</v>
      </c>
      <c r="C168">
        <v>2019</v>
      </c>
      <c r="D168" t="s">
        <v>44</v>
      </c>
      <c r="E168" t="s">
        <v>116</v>
      </c>
      <c r="F168" t="s">
        <v>276</v>
      </c>
      <c r="G168">
        <v>500</v>
      </c>
      <c r="H168" t="s">
        <v>47</v>
      </c>
      <c r="I168" t="s">
        <v>48</v>
      </c>
      <c r="J168" t="s">
        <v>22</v>
      </c>
      <c r="K168" s="4">
        <v>331.24</v>
      </c>
      <c r="L168" t="s">
        <v>523</v>
      </c>
      <c r="M168" s="1">
        <v>46356</v>
      </c>
      <c r="N168" t="s">
        <v>41</v>
      </c>
      <c r="O168" t="s">
        <v>25</v>
      </c>
    </row>
    <row r="169" spans="1:15" x14ac:dyDescent="0.25">
      <c r="A169" t="s">
        <v>524</v>
      </c>
      <c r="B169" t="s">
        <v>138</v>
      </c>
      <c r="C169">
        <v>2007</v>
      </c>
      <c r="D169" t="s">
        <v>66</v>
      </c>
      <c r="E169" t="s">
        <v>99</v>
      </c>
      <c r="F169" t="s">
        <v>135</v>
      </c>
      <c r="G169">
        <v>860</v>
      </c>
      <c r="H169" t="s">
        <v>56</v>
      </c>
      <c r="I169" t="s">
        <v>80</v>
      </c>
      <c r="J169" t="s">
        <v>31</v>
      </c>
      <c r="K169" s="4">
        <v>410.29</v>
      </c>
      <c r="L169" t="s">
        <v>525</v>
      </c>
      <c r="M169" s="1">
        <v>45905</v>
      </c>
      <c r="N169" t="s">
        <v>75</v>
      </c>
      <c r="O169" t="s">
        <v>51</v>
      </c>
    </row>
    <row r="170" spans="1:15" x14ac:dyDescent="0.25">
      <c r="A170" t="s">
        <v>526</v>
      </c>
      <c r="B170" t="s">
        <v>16</v>
      </c>
      <c r="C170">
        <v>2017</v>
      </c>
      <c r="D170" t="s">
        <v>83</v>
      </c>
      <c r="E170" t="s">
        <v>72</v>
      </c>
      <c r="F170" t="s">
        <v>527</v>
      </c>
      <c r="G170">
        <v>990</v>
      </c>
      <c r="H170" t="s">
        <v>20</v>
      </c>
      <c r="I170" t="s">
        <v>86</v>
      </c>
      <c r="J170" t="s">
        <v>101</v>
      </c>
      <c r="K170" s="4">
        <v>381.56</v>
      </c>
      <c r="L170" t="s">
        <v>528</v>
      </c>
      <c r="M170" s="1">
        <v>46854</v>
      </c>
      <c r="N170" t="s">
        <v>41</v>
      </c>
      <c r="O170" t="s">
        <v>33</v>
      </c>
    </row>
    <row r="171" spans="1:15" x14ac:dyDescent="0.25">
      <c r="A171" t="s">
        <v>529</v>
      </c>
      <c r="B171" t="s">
        <v>77</v>
      </c>
      <c r="C171">
        <v>1994</v>
      </c>
      <c r="D171" t="s">
        <v>17</v>
      </c>
      <c r="E171" t="s">
        <v>116</v>
      </c>
      <c r="F171" t="s">
        <v>67</v>
      </c>
      <c r="G171">
        <v>640</v>
      </c>
      <c r="H171" t="s">
        <v>56</v>
      </c>
      <c r="I171" t="s">
        <v>91</v>
      </c>
      <c r="J171" t="s">
        <v>121</v>
      </c>
      <c r="K171" s="4">
        <v>111.66</v>
      </c>
      <c r="L171" t="s">
        <v>530</v>
      </c>
      <c r="M171" s="1">
        <v>46629</v>
      </c>
      <c r="N171" t="s">
        <v>41</v>
      </c>
      <c r="O171" t="s">
        <v>33</v>
      </c>
    </row>
    <row r="172" spans="1:15" x14ac:dyDescent="0.25">
      <c r="A172" t="s">
        <v>531</v>
      </c>
      <c r="B172" t="s">
        <v>53</v>
      </c>
      <c r="C172">
        <v>2013</v>
      </c>
      <c r="D172" t="s">
        <v>95</v>
      </c>
      <c r="E172" t="s">
        <v>99</v>
      </c>
      <c r="F172" t="s">
        <v>135</v>
      </c>
      <c r="G172">
        <v>970</v>
      </c>
      <c r="H172" t="s">
        <v>85</v>
      </c>
      <c r="I172" t="s">
        <v>91</v>
      </c>
      <c r="J172" t="s">
        <v>31</v>
      </c>
      <c r="K172" s="4">
        <v>229.16</v>
      </c>
      <c r="L172" t="s">
        <v>532</v>
      </c>
      <c r="M172" s="1">
        <v>46130</v>
      </c>
      <c r="N172" t="s">
        <v>75</v>
      </c>
      <c r="O172" t="s">
        <v>25</v>
      </c>
    </row>
    <row r="173" spans="1:15" x14ac:dyDescent="0.25">
      <c r="A173" t="s">
        <v>533</v>
      </c>
      <c r="B173" t="s">
        <v>77</v>
      </c>
      <c r="C173">
        <v>1993</v>
      </c>
      <c r="D173" t="s">
        <v>95</v>
      </c>
      <c r="E173" t="s">
        <v>99</v>
      </c>
      <c r="F173" t="s">
        <v>124</v>
      </c>
      <c r="G173">
        <v>660</v>
      </c>
      <c r="H173" t="s">
        <v>29</v>
      </c>
      <c r="I173" t="s">
        <v>80</v>
      </c>
      <c r="J173" t="s">
        <v>49</v>
      </c>
      <c r="K173" s="4">
        <v>458.24</v>
      </c>
      <c r="L173" t="s">
        <v>534</v>
      </c>
      <c r="M173" s="1">
        <v>46275</v>
      </c>
      <c r="N173" t="s">
        <v>41</v>
      </c>
      <c r="O173" t="s">
        <v>51</v>
      </c>
    </row>
    <row r="174" spans="1:15" x14ac:dyDescent="0.25">
      <c r="A174" t="s">
        <v>535</v>
      </c>
      <c r="B174" t="s">
        <v>59</v>
      </c>
      <c r="C174">
        <v>1997</v>
      </c>
      <c r="D174" t="s">
        <v>89</v>
      </c>
      <c r="E174" t="s">
        <v>54</v>
      </c>
      <c r="F174" t="s">
        <v>536</v>
      </c>
      <c r="G174">
        <v>150</v>
      </c>
      <c r="H174" t="s">
        <v>47</v>
      </c>
      <c r="I174" t="s">
        <v>186</v>
      </c>
      <c r="J174" t="s">
        <v>63</v>
      </c>
      <c r="K174" s="4">
        <v>113.93</v>
      </c>
      <c r="L174" t="s">
        <v>537</v>
      </c>
      <c r="M174" s="1">
        <v>46872</v>
      </c>
      <c r="N174" t="s">
        <v>41</v>
      </c>
      <c r="O174" t="s">
        <v>25</v>
      </c>
    </row>
    <row r="175" spans="1:15" x14ac:dyDescent="0.25">
      <c r="A175" t="s">
        <v>538</v>
      </c>
      <c r="B175" t="s">
        <v>70</v>
      </c>
      <c r="C175">
        <v>1996</v>
      </c>
      <c r="D175" t="s">
        <v>95</v>
      </c>
      <c r="E175" t="s">
        <v>45</v>
      </c>
      <c r="F175" t="s">
        <v>539</v>
      </c>
      <c r="G175">
        <v>220</v>
      </c>
      <c r="H175" t="s">
        <v>62</v>
      </c>
      <c r="I175" t="s">
        <v>48</v>
      </c>
      <c r="J175" t="s">
        <v>31</v>
      </c>
      <c r="K175" s="4">
        <v>74.78</v>
      </c>
      <c r="L175" t="s">
        <v>540</v>
      </c>
      <c r="M175" s="1">
        <v>46609</v>
      </c>
      <c r="N175" t="s">
        <v>24</v>
      </c>
      <c r="O175" t="s">
        <v>51</v>
      </c>
    </row>
    <row r="176" spans="1:15" x14ac:dyDescent="0.25">
      <c r="A176" t="s">
        <v>541</v>
      </c>
      <c r="B176" t="s">
        <v>138</v>
      </c>
      <c r="C176">
        <v>2019</v>
      </c>
      <c r="D176" t="s">
        <v>66</v>
      </c>
      <c r="E176" t="s">
        <v>104</v>
      </c>
      <c r="F176" t="s">
        <v>180</v>
      </c>
      <c r="G176">
        <v>420</v>
      </c>
      <c r="H176" t="s">
        <v>47</v>
      </c>
      <c r="I176" t="s">
        <v>48</v>
      </c>
      <c r="J176" t="s">
        <v>101</v>
      </c>
      <c r="K176" s="4">
        <v>378.44</v>
      </c>
      <c r="L176" t="s">
        <v>542</v>
      </c>
      <c r="M176" s="1">
        <v>45882</v>
      </c>
      <c r="N176" t="s">
        <v>24</v>
      </c>
      <c r="O176" t="s">
        <v>51</v>
      </c>
    </row>
    <row r="177" spans="1:15" x14ac:dyDescent="0.25">
      <c r="A177" t="s">
        <v>543</v>
      </c>
      <c r="B177" t="s">
        <v>59</v>
      </c>
      <c r="C177">
        <v>2009</v>
      </c>
      <c r="D177" t="s">
        <v>71</v>
      </c>
      <c r="E177" t="s">
        <v>119</v>
      </c>
      <c r="F177" t="s">
        <v>544</v>
      </c>
      <c r="G177">
        <v>970</v>
      </c>
      <c r="H177" t="s">
        <v>56</v>
      </c>
      <c r="I177" t="s">
        <v>30</v>
      </c>
      <c r="J177" t="s">
        <v>121</v>
      </c>
      <c r="K177" s="4">
        <v>33.14</v>
      </c>
      <c r="L177" t="s">
        <v>545</v>
      </c>
      <c r="M177" s="1">
        <v>45873</v>
      </c>
      <c r="N177" t="s">
        <v>75</v>
      </c>
      <c r="O177" t="s">
        <v>51</v>
      </c>
    </row>
    <row r="178" spans="1:15" x14ac:dyDescent="0.25">
      <c r="A178" t="s">
        <v>546</v>
      </c>
      <c r="B178" t="s">
        <v>35</v>
      </c>
      <c r="C178">
        <v>1996</v>
      </c>
      <c r="D178" t="s">
        <v>83</v>
      </c>
      <c r="E178" t="s">
        <v>116</v>
      </c>
      <c r="F178" t="s">
        <v>547</v>
      </c>
      <c r="G178">
        <v>40</v>
      </c>
      <c r="H178" t="s">
        <v>38</v>
      </c>
      <c r="I178" t="s">
        <v>86</v>
      </c>
      <c r="J178" t="s">
        <v>22</v>
      </c>
      <c r="K178" s="4">
        <v>256.83999999999997</v>
      </c>
      <c r="L178" t="s">
        <v>548</v>
      </c>
      <c r="M178" s="1">
        <v>46186</v>
      </c>
      <c r="N178" t="s">
        <v>41</v>
      </c>
      <c r="O178" t="s">
        <v>25</v>
      </c>
    </row>
    <row r="179" spans="1:15" x14ac:dyDescent="0.25">
      <c r="A179" t="s">
        <v>549</v>
      </c>
      <c r="B179" t="s">
        <v>98</v>
      </c>
      <c r="C179">
        <v>2016</v>
      </c>
      <c r="D179" t="s">
        <v>36</v>
      </c>
      <c r="E179" t="s">
        <v>116</v>
      </c>
      <c r="F179" t="s">
        <v>79</v>
      </c>
      <c r="G179">
        <v>800</v>
      </c>
      <c r="H179" t="s">
        <v>20</v>
      </c>
      <c r="I179" t="s">
        <v>80</v>
      </c>
      <c r="J179" t="s">
        <v>125</v>
      </c>
      <c r="K179" s="4">
        <v>322.72000000000003</v>
      </c>
      <c r="L179" t="s">
        <v>550</v>
      </c>
      <c r="M179" s="1">
        <v>46695</v>
      </c>
      <c r="N179" t="s">
        <v>75</v>
      </c>
      <c r="O179" t="s">
        <v>25</v>
      </c>
    </row>
    <row r="180" spans="1:15" x14ac:dyDescent="0.25">
      <c r="A180" t="s">
        <v>551</v>
      </c>
      <c r="B180" t="s">
        <v>59</v>
      </c>
      <c r="C180">
        <v>2004</v>
      </c>
      <c r="D180" t="s">
        <v>108</v>
      </c>
      <c r="E180" t="s">
        <v>60</v>
      </c>
      <c r="F180" t="s">
        <v>139</v>
      </c>
      <c r="G180">
        <v>300</v>
      </c>
      <c r="H180" t="s">
        <v>56</v>
      </c>
      <c r="I180" t="s">
        <v>39</v>
      </c>
      <c r="J180" t="s">
        <v>110</v>
      </c>
      <c r="K180" s="4">
        <v>231.56</v>
      </c>
      <c r="L180" t="s">
        <v>552</v>
      </c>
      <c r="M180" s="1">
        <v>45964</v>
      </c>
      <c r="N180" t="s">
        <v>75</v>
      </c>
      <c r="O180" t="s">
        <v>33</v>
      </c>
    </row>
    <row r="181" spans="1:15" x14ac:dyDescent="0.25">
      <c r="A181" t="s">
        <v>553</v>
      </c>
      <c r="B181" t="s">
        <v>77</v>
      </c>
      <c r="C181">
        <v>1997</v>
      </c>
      <c r="D181" t="s">
        <v>66</v>
      </c>
      <c r="E181" t="s">
        <v>116</v>
      </c>
      <c r="F181" t="s">
        <v>139</v>
      </c>
      <c r="G181">
        <v>370</v>
      </c>
      <c r="H181" t="s">
        <v>29</v>
      </c>
      <c r="I181" t="s">
        <v>91</v>
      </c>
      <c r="J181" t="s">
        <v>22</v>
      </c>
      <c r="K181" s="4">
        <v>138.47999999999999</v>
      </c>
      <c r="L181" t="s">
        <v>554</v>
      </c>
      <c r="M181" s="1">
        <v>46015</v>
      </c>
      <c r="N181" t="s">
        <v>24</v>
      </c>
      <c r="O181" t="s">
        <v>51</v>
      </c>
    </row>
    <row r="182" spans="1:15" x14ac:dyDescent="0.25">
      <c r="A182" t="s">
        <v>555</v>
      </c>
      <c r="B182" t="s">
        <v>53</v>
      </c>
      <c r="C182">
        <v>2004</v>
      </c>
      <c r="D182" t="s">
        <v>17</v>
      </c>
      <c r="E182" t="s">
        <v>72</v>
      </c>
      <c r="F182" t="s">
        <v>208</v>
      </c>
      <c r="G182">
        <v>350</v>
      </c>
      <c r="H182" t="s">
        <v>85</v>
      </c>
      <c r="I182" t="s">
        <v>186</v>
      </c>
      <c r="J182" t="s">
        <v>22</v>
      </c>
      <c r="K182" s="4">
        <v>131.72999999999999</v>
      </c>
      <c r="L182" t="s">
        <v>556</v>
      </c>
      <c r="M182" s="1">
        <v>45984</v>
      </c>
      <c r="N182" t="s">
        <v>24</v>
      </c>
      <c r="O182" t="s">
        <v>33</v>
      </c>
    </row>
    <row r="183" spans="1:15" x14ac:dyDescent="0.25">
      <c r="A183" t="s">
        <v>557</v>
      </c>
      <c r="B183" t="s">
        <v>138</v>
      </c>
      <c r="C183">
        <v>2016</v>
      </c>
      <c r="D183" t="s">
        <v>17</v>
      </c>
      <c r="E183" t="s">
        <v>72</v>
      </c>
      <c r="F183" t="s">
        <v>372</v>
      </c>
      <c r="G183">
        <v>260</v>
      </c>
      <c r="H183" t="s">
        <v>38</v>
      </c>
      <c r="I183" t="s">
        <v>73</v>
      </c>
      <c r="J183" t="s">
        <v>121</v>
      </c>
      <c r="K183" s="4">
        <v>271.12</v>
      </c>
      <c r="L183" t="s">
        <v>558</v>
      </c>
      <c r="M183" s="1">
        <v>46063</v>
      </c>
      <c r="N183" t="s">
        <v>75</v>
      </c>
      <c r="O183" t="s">
        <v>51</v>
      </c>
    </row>
    <row r="184" spans="1:15" x14ac:dyDescent="0.25">
      <c r="A184" t="s">
        <v>559</v>
      </c>
      <c r="B184" t="s">
        <v>35</v>
      </c>
      <c r="C184">
        <v>2017</v>
      </c>
      <c r="D184" t="s">
        <v>44</v>
      </c>
      <c r="E184" t="s">
        <v>45</v>
      </c>
      <c r="F184" t="s">
        <v>560</v>
      </c>
      <c r="G184">
        <v>70</v>
      </c>
      <c r="H184" t="s">
        <v>47</v>
      </c>
      <c r="I184" t="s">
        <v>86</v>
      </c>
      <c r="J184" t="s">
        <v>121</v>
      </c>
      <c r="K184" s="4">
        <v>267.77999999999997</v>
      </c>
      <c r="L184" t="s">
        <v>561</v>
      </c>
      <c r="M184" s="1">
        <v>46836</v>
      </c>
      <c r="N184" t="s">
        <v>41</v>
      </c>
      <c r="O184" t="s">
        <v>25</v>
      </c>
    </row>
    <row r="185" spans="1:15" x14ac:dyDescent="0.25">
      <c r="A185" t="s">
        <v>562</v>
      </c>
      <c r="B185" t="s">
        <v>35</v>
      </c>
      <c r="C185">
        <v>2005</v>
      </c>
      <c r="D185" t="s">
        <v>83</v>
      </c>
      <c r="E185" t="s">
        <v>99</v>
      </c>
      <c r="F185" t="s">
        <v>544</v>
      </c>
      <c r="G185">
        <v>590</v>
      </c>
      <c r="H185" t="s">
        <v>62</v>
      </c>
      <c r="I185" t="s">
        <v>30</v>
      </c>
      <c r="J185" t="s">
        <v>125</v>
      </c>
      <c r="K185" s="4">
        <v>120.9</v>
      </c>
      <c r="L185" t="s">
        <v>563</v>
      </c>
      <c r="M185" s="1">
        <v>46142</v>
      </c>
      <c r="N185" t="s">
        <v>24</v>
      </c>
      <c r="O185" t="s">
        <v>25</v>
      </c>
    </row>
    <row r="186" spans="1:15" x14ac:dyDescent="0.25">
      <c r="A186" t="s">
        <v>564</v>
      </c>
      <c r="B186" t="s">
        <v>35</v>
      </c>
      <c r="C186">
        <v>2009</v>
      </c>
      <c r="D186" t="s">
        <v>36</v>
      </c>
      <c r="E186" t="s">
        <v>60</v>
      </c>
      <c r="F186" t="s">
        <v>565</v>
      </c>
      <c r="G186">
        <v>930</v>
      </c>
      <c r="H186" t="s">
        <v>47</v>
      </c>
      <c r="I186" t="s">
        <v>91</v>
      </c>
      <c r="J186" t="s">
        <v>121</v>
      </c>
      <c r="K186" s="4">
        <v>147.6</v>
      </c>
      <c r="L186" t="s">
        <v>566</v>
      </c>
      <c r="M186" s="1">
        <v>46868</v>
      </c>
      <c r="N186" t="s">
        <v>75</v>
      </c>
      <c r="O186" t="s">
        <v>25</v>
      </c>
    </row>
    <row r="187" spans="1:15" x14ac:dyDescent="0.25">
      <c r="A187" t="s">
        <v>567</v>
      </c>
      <c r="B187" t="s">
        <v>59</v>
      </c>
      <c r="C187">
        <v>2004</v>
      </c>
      <c r="D187" t="s">
        <v>44</v>
      </c>
      <c r="E187" t="s">
        <v>99</v>
      </c>
      <c r="F187" t="s">
        <v>180</v>
      </c>
      <c r="G187">
        <v>730</v>
      </c>
      <c r="H187" t="s">
        <v>62</v>
      </c>
      <c r="I187" t="s">
        <v>73</v>
      </c>
      <c r="J187" t="s">
        <v>110</v>
      </c>
      <c r="K187" s="4">
        <v>437.65</v>
      </c>
      <c r="L187" t="s">
        <v>568</v>
      </c>
      <c r="M187" s="1">
        <v>46068</v>
      </c>
      <c r="N187" t="s">
        <v>24</v>
      </c>
      <c r="O187" t="s">
        <v>25</v>
      </c>
    </row>
    <row r="188" spans="1:15" x14ac:dyDescent="0.25">
      <c r="A188" t="s">
        <v>569</v>
      </c>
      <c r="B188" t="s">
        <v>70</v>
      </c>
      <c r="C188">
        <v>2018</v>
      </c>
      <c r="D188" t="s">
        <v>36</v>
      </c>
      <c r="E188" t="s">
        <v>54</v>
      </c>
      <c r="F188" t="s">
        <v>185</v>
      </c>
      <c r="G188">
        <v>650</v>
      </c>
      <c r="H188" t="s">
        <v>20</v>
      </c>
      <c r="I188" t="s">
        <v>80</v>
      </c>
      <c r="J188" t="s">
        <v>63</v>
      </c>
      <c r="K188" s="4">
        <v>318.57</v>
      </c>
      <c r="L188" t="s">
        <v>570</v>
      </c>
      <c r="M188" s="1">
        <v>46382</v>
      </c>
      <c r="N188" t="s">
        <v>41</v>
      </c>
      <c r="O188" t="s">
        <v>33</v>
      </c>
    </row>
    <row r="189" spans="1:15" x14ac:dyDescent="0.25">
      <c r="A189" t="s">
        <v>571</v>
      </c>
      <c r="B189" t="s">
        <v>53</v>
      </c>
      <c r="C189">
        <v>2009</v>
      </c>
      <c r="D189" t="s">
        <v>89</v>
      </c>
      <c r="E189" t="s">
        <v>45</v>
      </c>
      <c r="F189" t="s">
        <v>572</v>
      </c>
      <c r="G189">
        <v>440</v>
      </c>
      <c r="H189" t="s">
        <v>62</v>
      </c>
      <c r="I189" t="s">
        <v>91</v>
      </c>
      <c r="J189" t="s">
        <v>146</v>
      </c>
      <c r="K189" s="4">
        <v>341.93</v>
      </c>
      <c r="L189" t="s">
        <v>573</v>
      </c>
      <c r="M189" s="1">
        <v>46128</v>
      </c>
      <c r="N189" t="s">
        <v>75</v>
      </c>
      <c r="O189" t="s">
        <v>33</v>
      </c>
    </row>
    <row r="190" spans="1:15" x14ac:dyDescent="0.25">
      <c r="A190" t="s">
        <v>574</v>
      </c>
      <c r="B190" t="s">
        <v>53</v>
      </c>
      <c r="C190">
        <v>2006</v>
      </c>
      <c r="D190" t="s">
        <v>71</v>
      </c>
      <c r="E190" t="s">
        <v>78</v>
      </c>
      <c r="F190" t="s">
        <v>67</v>
      </c>
      <c r="G190">
        <v>390</v>
      </c>
      <c r="H190" t="s">
        <v>62</v>
      </c>
      <c r="I190" t="s">
        <v>86</v>
      </c>
      <c r="J190" t="s">
        <v>101</v>
      </c>
      <c r="K190" s="4">
        <v>457.93</v>
      </c>
      <c r="L190" t="s">
        <v>575</v>
      </c>
      <c r="M190" s="1">
        <v>46438</v>
      </c>
      <c r="N190" t="s">
        <v>24</v>
      </c>
      <c r="O190" t="s">
        <v>25</v>
      </c>
    </row>
    <row r="191" spans="1:15" x14ac:dyDescent="0.25">
      <c r="A191" t="s">
        <v>576</v>
      </c>
      <c r="B191" t="s">
        <v>138</v>
      </c>
      <c r="C191">
        <v>2014</v>
      </c>
      <c r="D191" t="s">
        <v>108</v>
      </c>
      <c r="E191" t="s">
        <v>54</v>
      </c>
      <c r="F191" t="s">
        <v>124</v>
      </c>
      <c r="G191">
        <v>890</v>
      </c>
      <c r="H191" t="s">
        <v>62</v>
      </c>
      <c r="I191" t="s">
        <v>86</v>
      </c>
      <c r="J191" t="s">
        <v>31</v>
      </c>
      <c r="K191" s="4">
        <v>22.46</v>
      </c>
      <c r="L191" t="s">
        <v>577</v>
      </c>
      <c r="M191" s="1">
        <v>45887</v>
      </c>
      <c r="N191" t="s">
        <v>24</v>
      </c>
      <c r="O191" t="s">
        <v>33</v>
      </c>
    </row>
    <row r="192" spans="1:15" x14ac:dyDescent="0.25">
      <c r="A192" t="s">
        <v>578</v>
      </c>
      <c r="B192" t="s">
        <v>70</v>
      </c>
      <c r="C192">
        <v>1995</v>
      </c>
      <c r="D192" t="s">
        <v>44</v>
      </c>
      <c r="E192" t="s">
        <v>60</v>
      </c>
      <c r="F192" t="s">
        <v>79</v>
      </c>
      <c r="G192">
        <v>490</v>
      </c>
      <c r="H192" t="s">
        <v>56</v>
      </c>
      <c r="I192" t="s">
        <v>39</v>
      </c>
      <c r="J192" t="s">
        <v>22</v>
      </c>
      <c r="K192" s="4">
        <v>241.59</v>
      </c>
      <c r="L192" t="s">
        <v>579</v>
      </c>
      <c r="M192" s="1">
        <v>46596</v>
      </c>
      <c r="N192" t="s">
        <v>24</v>
      </c>
      <c r="O192" t="s">
        <v>25</v>
      </c>
    </row>
    <row r="193" spans="1:15" x14ac:dyDescent="0.25">
      <c r="A193" t="s">
        <v>580</v>
      </c>
      <c r="B193" t="s">
        <v>138</v>
      </c>
      <c r="C193">
        <v>1991</v>
      </c>
      <c r="D193" t="s">
        <v>66</v>
      </c>
      <c r="E193" t="s">
        <v>119</v>
      </c>
      <c r="F193" t="s">
        <v>581</v>
      </c>
      <c r="G193">
        <v>70</v>
      </c>
      <c r="H193" t="s">
        <v>56</v>
      </c>
      <c r="I193" t="s">
        <v>39</v>
      </c>
      <c r="J193" t="s">
        <v>92</v>
      </c>
      <c r="K193" s="4">
        <v>206.59</v>
      </c>
      <c r="L193" t="s">
        <v>582</v>
      </c>
      <c r="M193" s="1">
        <v>46133</v>
      </c>
      <c r="N193" t="s">
        <v>24</v>
      </c>
      <c r="O193" t="s">
        <v>51</v>
      </c>
    </row>
    <row r="194" spans="1:15" x14ac:dyDescent="0.25">
      <c r="A194" t="s">
        <v>583</v>
      </c>
      <c r="B194" t="s">
        <v>16</v>
      </c>
      <c r="C194">
        <v>2018</v>
      </c>
      <c r="D194" t="s">
        <v>17</v>
      </c>
      <c r="E194" t="s">
        <v>78</v>
      </c>
      <c r="F194" t="s">
        <v>372</v>
      </c>
      <c r="G194">
        <v>250</v>
      </c>
      <c r="H194" t="s">
        <v>85</v>
      </c>
      <c r="I194" t="s">
        <v>86</v>
      </c>
      <c r="J194" t="s">
        <v>63</v>
      </c>
      <c r="K194" s="4">
        <v>244.43</v>
      </c>
      <c r="L194" t="s">
        <v>584</v>
      </c>
      <c r="M194" s="1">
        <v>46211</v>
      </c>
      <c r="N194" t="s">
        <v>75</v>
      </c>
      <c r="O194" t="s">
        <v>25</v>
      </c>
    </row>
    <row r="195" spans="1:15" x14ac:dyDescent="0.25">
      <c r="A195" t="s">
        <v>585</v>
      </c>
      <c r="B195" t="s">
        <v>98</v>
      </c>
      <c r="C195">
        <v>2006</v>
      </c>
      <c r="D195" t="s">
        <v>27</v>
      </c>
      <c r="E195" t="s">
        <v>60</v>
      </c>
      <c r="F195" t="s">
        <v>145</v>
      </c>
      <c r="G195">
        <v>930</v>
      </c>
      <c r="H195" t="s">
        <v>47</v>
      </c>
      <c r="I195" t="s">
        <v>80</v>
      </c>
      <c r="J195" t="s">
        <v>31</v>
      </c>
      <c r="K195" s="4">
        <v>148.53</v>
      </c>
      <c r="L195" t="s">
        <v>586</v>
      </c>
      <c r="M195" s="1">
        <v>46816</v>
      </c>
      <c r="N195" t="s">
        <v>24</v>
      </c>
      <c r="O195" t="s">
        <v>25</v>
      </c>
    </row>
    <row r="196" spans="1:15" x14ac:dyDescent="0.25">
      <c r="A196" t="s">
        <v>587</v>
      </c>
      <c r="B196" t="s">
        <v>77</v>
      </c>
      <c r="C196">
        <v>2014</v>
      </c>
      <c r="D196" t="s">
        <v>89</v>
      </c>
      <c r="E196" t="s">
        <v>99</v>
      </c>
      <c r="F196" t="s">
        <v>28</v>
      </c>
      <c r="G196">
        <v>790</v>
      </c>
      <c r="H196" t="s">
        <v>38</v>
      </c>
      <c r="I196" t="s">
        <v>86</v>
      </c>
      <c r="J196" t="s">
        <v>146</v>
      </c>
      <c r="K196" s="4">
        <v>135.21</v>
      </c>
      <c r="L196" t="s">
        <v>588</v>
      </c>
      <c r="M196" s="1">
        <v>45961</v>
      </c>
      <c r="N196" t="s">
        <v>24</v>
      </c>
      <c r="O196" t="s">
        <v>25</v>
      </c>
    </row>
    <row r="197" spans="1:15" x14ac:dyDescent="0.25">
      <c r="A197" t="s">
        <v>589</v>
      </c>
      <c r="B197" t="s">
        <v>98</v>
      </c>
      <c r="C197">
        <v>2006</v>
      </c>
      <c r="D197" t="s">
        <v>89</v>
      </c>
      <c r="E197" t="s">
        <v>72</v>
      </c>
      <c r="F197" t="s">
        <v>590</v>
      </c>
      <c r="G197">
        <v>640</v>
      </c>
      <c r="H197" t="s">
        <v>20</v>
      </c>
      <c r="I197" t="s">
        <v>48</v>
      </c>
      <c r="J197" t="s">
        <v>92</v>
      </c>
      <c r="K197" s="4">
        <v>278.55</v>
      </c>
      <c r="L197" t="s">
        <v>591</v>
      </c>
      <c r="M197" s="1">
        <v>46883</v>
      </c>
      <c r="N197" t="s">
        <v>41</v>
      </c>
      <c r="O197" t="s">
        <v>33</v>
      </c>
    </row>
    <row r="198" spans="1:15" x14ac:dyDescent="0.25">
      <c r="A198" t="s">
        <v>592</v>
      </c>
      <c r="B198" t="s">
        <v>138</v>
      </c>
      <c r="C198">
        <v>2000</v>
      </c>
      <c r="D198" t="s">
        <v>27</v>
      </c>
      <c r="E198" t="s">
        <v>104</v>
      </c>
      <c r="F198" t="s">
        <v>28</v>
      </c>
      <c r="G198">
        <v>920</v>
      </c>
      <c r="H198" t="s">
        <v>62</v>
      </c>
      <c r="I198" t="s">
        <v>80</v>
      </c>
      <c r="J198" t="s">
        <v>101</v>
      </c>
      <c r="K198" s="4">
        <v>63.88</v>
      </c>
      <c r="L198" t="s">
        <v>593</v>
      </c>
      <c r="M198" s="1">
        <v>45963</v>
      </c>
      <c r="N198" t="s">
        <v>24</v>
      </c>
      <c r="O198" t="s">
        <v>25</v>
      </c>
    </row>
    <row r="199" spans="1:15" x14ac:dyDescent="0.25">
      <c r="A199" t="s">
        <v>594</v>
      </c>
      <c r="B199" t="s">
        <v>59</v>
      </c>
      <c r="C199">
        <v>1998</v>
      </c>
      <c r="D199" t="s">
        <v>66</v>
      </c>
      <c r="E199" t="s">
        <v>104</v>
      </c>
      <c r="F199" t="s">
        <v>208</v>
      </c>
      <c r="G199">
        <v>770</v>
      </c>
      <c r="H199" t="s">
        <v>20</v>
      </c>
      <c r="I199" t="s">
        <v>186</v>
      </c>
      <c r="J199" t="s">
        <v>110</v>
      </c>
      <c r="K199" s="4">
        <v>156.86000000000001</v>
      </c>
      <c r="L199" t="s">
        <v>595</v>
      </c>
      <c r="M199" s="1">
        <v>46801</v>
      </c>
      <c r="N199" t="s">
        <v>41</v>
      </c>
      <c r="O199" t="s">
        <v>33</v>
      </c>
    </row>
    <row r="200" spans="1:15" x14ac:dyDescent="0.25">
      <c r="A200" t="s">
        <v>596</v>
      </c>
      <c r="B200" t="s">
        <v>59</v>
      </c>
      <c r="C200">
        <v>2006</v>
      </c>
      <c r="D200" t="s">
        <v>83</v>
      </c>
      <c r="E200" t="s">
        <v>116</v>
      </c>
      <c r="F200" t="s">
        <v>597</v>
      </c>
      <c r="G200">
        <v>360</v>
      </c>
      <c r="H200" t="s">
        <v>85</v>
      </c>
      <c r="I200" t="s">
        <v>73</v>
      </c>
      <c r="J200" t="s">
        <v>31</v>
      </c>
      <c r="K200" s="4">
        <v>327.94</v>
      </c>
      <c r="L200" t="s">
        <v>598</v>
      </c>
      <c r="M200" s="1">
        <v>46071</v>
      </c>
      <c r="N200" t="s">
        <v>41</v>
      </c>
      <c r="O200" t="s">
        <v>51</v>
      </c>
    </row>
    <row r="201" spans="1:15" x14ac:dyDescent="0.25">
      <c r="A201" t="s">
        <v>599</v>
      </c>
      <c r="B201" t="s">
        <v>53</v>
      </c>
      <c r="C201">
        <v>2002</v>
      </c>
      <c r="D201" t="s">
        <v>36</v>
      </c>
      <c r="E201" t="s">
        <v>104</v>
      </c>
      <c r="F201" t="s">
        <v>600</v>
      </c>
      <c r="G201">
        <v>370</v>
      </c>
      <c r="H201" t="s">
        <v>47</v>
      </c>
      <c r="I201" t="s">
        <v>39</v>
      </c>
      <c r="J201" t="s">
        <v>63</v>
      </c>
      <c r="K201" s="4">
        <v>190.11</v>
      </c>
      <c r="L201" t="s">
        <v>601</v>
      </c>
      <c r="M201" s="1">
        <v>46587</v>
      </c>
      <c r="N201" t="s">
        <v>41</v>
      </c>
      <c r="O201" t="s">
        <v>51</v>
      </c>
    </row>
    <row r="202" spans="1:15" x14ac:dyDescent="0.25">
      <c r="A202" t="s">
        <v>602</v>
      </c>
      <c r="B202" t="s">
        <v>43</v>
      </c>
      <c r="C202">
        <v>2016</v>
      </c>
      <c r="D202" t="s">
        <v>108</v>
      </c>
      <c r="E202" t="s">
        <v>104</v>
      </c>
      <c r="F202" t="s">
        <v>603</v>
      </c>
      <c r="G202">
        <v>190</v>
      </c>
      <c r="H202" t="s">
        <v>85</v>
      </c>
      <c r="I202" t="s">
        <v>21</v>
      </c>
      <c r="J202" t="s">
        <v>121</v>
      </c>
      <c r="K202" s="4">
        <v>108.11</v>
      </c>
      <c r="L202" t="s">
        <v>604</v>
      </c>
      <c r="M202" s="1">
        <v>46074</v>
      </c>
      <c r="N202" t="s">
        <v>41</v>
      </c>
      <c r="O202" t="s">
        <v>33</v>
      </c>
    </row>
    <row r="203" spans="1:15" x14ac:dyDescent="0.25">
      <c r="A203" t="s">
        <v>605</v>
      </c>
      <c r="B203" t="s">
        <v>98</v>
      </c>
      <c r="C203">
        <v>2020</v>
      </c>
      <c r="D203" t="s">
        <v>108</v>
      </c>
      <c r="E203" t="s">
        <v>60</v>
      </c>
      <c r="F203" t="s">
        <v>67</v>
      </c>
      <c r="G203">
        <v>370</v>
      </c>
      <c r="H203" t="s">
        <v>85</v>
      </c>
      <c r="I203" t="s">
        <v>91</v>
      </c>
      <c r="J203" t="s">
        <v>63</v>
      </c>
      <c r="K203" s="4">
        <v>5.72</v>
      </c>
      <c r="L203" t="s">
        <v>606</v>
      </c>
      <c r="M203" s="1">
        <v>46881</v>
      </c>
      <c r="N203" t="s">
        <v>24</v>
      </c>
      <c r="O203" t="s">
        <v>25</v>
      </c>
    </row>
    <row r="204" spans="1:15" x14ac:dyDescent="0.25">
      <c r="A204" t="s">
        <v>607</v>
      </c>
      <c r="B204" t="s">
        <v>77</v>
      </c>
      <c r="C204">
        <v>2019</v>
      </c>
      <c r="D204" t="s">
        <v>83</v>
      </c>
      <c r="E204" t="s">
        <v>119</v>
      </c>
      <c r="F204" t="s">
        <v>608</v>
      </c>
      <c r="G204">
        <v>930</v>
      </c>
      <c r="H204" t="s">
        <v>85</v>
      </c>
      <c r="I204" t="s">
        <v>48</v>
      </c>
      <c r="J204" t="s">
        <v>92</v>
      </c>
      <c r="K204" s="4">
        <v>417</v>
      </c>
      <c r="L204" t="s">
        <v>609</v>
      </c>
      <c r="M204" s="1">
        <v>46935</v>
      </c>
      <c r="N204" t="s">
        <v>24</v>
      </c>
      <c r="O204" t="s">
        <v>33</v>
      </c>
    </row>
    <row r="205" spans="1:15" x14ac:dyDescent="0.25">
      <c r="A205" t="s">
        <v>610</v>
      </c>
      <c r="B205" t="s">
        <v>134</v>
      </c>
      <c r="C205">
        <v>1998</v>
      </c>
      <c r="D205" t="s">
        <v>108</v>
      </c>
      <c r="E205" t="s">
        <v>54</v>
      </c>
      <c r="F205" t="s">
        <v>145</v>
      </c>
      <c r="G205">
        <v>960</v>
      </c>
      <c r="H205" t="s">
        <v>62</v>
      </c>
      <c r="I205" t="s">
        <v>39</v>
      </c>
      <c r="J205" t="s">
        <v>22</v>
      </c>
      <c r="K205" s="4">
        <v>359.64</v>
      </c>
      <c r="L205" t="s">
        <v>611</v>
      </c>
      <c r="M205" s="1">
        <v>46360</v>
      </c>
      <c r="N205" t="s">
        <v>24</v>
      </c>
      <c r="O205" t="s">
        <v>33</v>
      </c>
    </row>
    <row r="206" spans="1:15" x14ac:dyDescent="0.25">
      <c r="A206" t="s">
        <v>612</v>
      </c>
      <c r="B206" t="s">
        <v>16</v>
      </c>
      <c r="C206">
        <v>2014</v>
      </c>
      <c r="D206" t="s">
        <v>44</v>
      </c>
      <c r="E206" t="s">
        <v>60</v>
      </c>
      <c r="F206" t="s">
        <v>613</v>
      </c>
      <c r="G206">
        <v>580</v>
      </c>
      <c r="H206" t="s">
        <v>85</v>
      </c>
      <c r="I206" t="s">
        <v>39</v>
      </c>
      <c r="J206" t="s">
        <v>146</v>
      </c>
      <c r="K206" s="4">
        <v>5.56</v>
      </c>
      <c r="L206" t="s">
        <v>614</v>
      </c>
      <c r="M206" s="1">
        <v>46356</v>
      </c>
      <c r="N206" t="s">
        <v>41</v>
      </c>
      <c r="O206" t="s">
        <v>51</v>
      </c>
    </row>
    <row r="207" spans="1:15" x14ac:dyDescent="0.25">
      <c r="A207" t="s">
        <v>615</v>
      </c>
      <c r="B207" t="s">
        <v>43</v>
      </c>
      <c r="C207">
        <v>1993</v>
      </c>
      <c r="D207" t="s">
        <v>27</v>
      </c>
      <c r="E207" t="s">
        <v>72</v>
      </c>
      <c r="F207" t="s">
        <v>616</v>
      </c>
      <c r="G207">
        <v>110</v>
      </c>
      <c r="H207" t="s">
        <v>29</v>
      </c>
      <c r="I207" t="s">
        <v>21</v>
      </c>
      <c r="J207" t="s">
        <v>31</v>
      </c>
      <c r="K207" s="4">
        <v>67.47</v>
      </c>
      <c r="L207" t="s">
        <v>617</v>
      </c>
      <c r="M207" s="1">
        <v>46962</v>
      </c>
      <c r="N207" t="s">
        <v>75</v>
      </c>
      <c r="O207" t="s">
        <v>33</v>
      </c>
    </row>
    <row r="208" spans="1:15" x14ac:dyDescent="0.25">
      <c r="A208" t="s">
        <v>618</v>
      </c>
      <c r="B208" t="s">
        <v>35</v>
      </c>
      <c r="C208">
        <v>1996</v>
      </c>
      <c r="D208" t="s">
        <v>71</v>
      </c>
      <c r="E208" t="s">
        <v>18</v>
      </c>
      <c r="F208" t="s">
        <v>28</v>
      </c>
      <c r="G208">
        <v>940</v>
      </c>
      <c r="H208" t="s">
        <v>85</v>
      </c>
      <c r="I208" t="s">
        <v>151</v>
      </c>
      <c r="J208" t="s">
        <v>31</v>
      </c>
      <c r="K208" s="4">
        <v>27.44</v>
      </c>
      <c r="L208" t="s">
        <v>619</v>
      </c>
      <c r="M208" s="1">
        <v>46571</v>
      </c>
      <c r="N208" t="s">
        <v>24</v>
      </c>
      <c r="O208" t="s">
        <v>25</v>
      </c>
    </row>
    <row r="209" spans="1:15" x14ac:dyDescent="0.25">
      <c r="A209" t="s">
        <v>620</v>
      </c>
      <c r="B209" t="s">
        <v>16</v>
      </c>
      <c r="C209">
        <v>2013</v>
      </c>
      <c r="D209" t="s">
        <v>71</v>
      </c>
      <c r="E209" t="s">
        <v>60</v>
      </c>
      <c r="F209" t="s">
        <v>317</v>
      </c>
      <c r="G209">
        <v>460</v>
      </c>
      <c r="H209" t="s">
        <v>29</v>
      </c>
      <c r="I209" t="s">
        <v>186</v>
      </c>
      <c r="J209" t="s">
        <v>121</v>
      </c>
      <c r="K209" s="4">
        <v>364.35</v>
      </c>
      <c r="L209" t="s">
        <v>621</v>
      </c>
      <c r="M209" s="1">
        <v>46175</v>
      </c>
      <c r="N209" t="s">
        <v>41</v>
      </c>
      <c r="O209" t="s">
        <v>33</v>
      </c>
    </row>
    <row r="210" spans="1:15" x14ac:dyDescent="0.25">
      <c r="A210" t="s">
        <v>622</v>
      </c>
      <c r="B210" t="s">
        <v>134</v>
      </c>
      <c r="C210">
        <v>1992</v>
      </c>
      <c r="D210" t="s">
        <v>83</v>
      </c>
      <c r="E210" t="s">
        <v>60</v>
      </c>
      <c r="F210" t="s">
        <v>323</v>
      </c>
      <c r="G210">
        <v>220</v>
      </c>
      <c r="H210" t="s">
        <v>56</v>
      </c>
      <c r="I210" t="s">
        <v>30</v>
      </c>
      <c r="J210" t="s">
        <v>110</v>
      </c>
      <c r="K210" s="4">
        <v>464.16</v>
      </c>
      <c r="L210" t="s">
        <v>623</v>
      </c>
      <c r="M210" s="1">
        <v>46958</v>
      </c>
      <c r="N210" t="s">
        <v>24</v>
      </c>
      <c r="O210" t="s">
        <v>51</v>
      </c>
    </row>
    <row r="211" spans="1:15" x14ac:dyDescent="0.25">
      <c r="A211" t="s">
        <v>624</v>
      </c>
      <c r="B211" t="s">
        <v>35</v>
      </c>
      <c r="C211">
        <v>2009</v>
      </c>
      <c r="D211" t="s">
        <v>44</v>
      </c>
      <c r="E211" t="s">
        <v>60</v>
      </c>
      <c r="F211" t="s">
        <v>625</v>
      </c>
      <c r="G211">
        <v>420</v>
      </c>
      <c r="H211" t="s">
        <v>56</v>
      </c>
      <c r="I211" t="s">
        <v>151</v>
      </c>
      <c r="J211" t="s">
        <v>146</v>
      </c>
      <c r="K211" s="4">
        <v>79.959999999999994</v>
      </c>
      <c r="L211" t="s">
        <v>626</v>
      </c>
      <c r="M211" s="1">
        <v>46475</v>
      </c>
      <c r="N211" t="s">
        <v>75</v>
      </c>
      <c r="O211" t="s">
        <v>51</v>
      </c>
    </row>
    <row r="212" spans="1:15" x14ac:dyDescent="0.25">
      <c r="A212" t="s">
        <v>627</v>
      </c>
      <c r="B212" t="s">
        <v>138</v>
      </c>
      <c r="C212">
        <v>2006</v>
      </c>
      <c r="D212" t="s">
        <v>89</v>
      </c>
      <c r="E212" t="s">
        <v>60</v>
      </c>
      <c r="F212" t="s">
        <v>135</v>
      </c>
      <c r="G212">
        <v>210</v>
      </c>
      <c r="H212" t="s">
        <v>56</v>
      </c>
      <c r="I212" t="s">
        <v>73</v>
      </c>
      <c r="J212" t="s">
        <v>63</v>
      </c>
      <c r="K212" s="4">
        <v>32.67</v>
      </c>
      <c r="L212" t="s">
        <v>628</v>
      </c>
      <c r="M212" s="1">
        <v>46870</v>
      </c>
      <c r="N212" t="s">
        <v>41</v>
      </c>
      <c r="O212" t="s">
        <v>51</v>
      </c>
    </row>
    <row r="213" spans="1:15" x14ac:dyDescent="0.25">
      <c r="A213" t="s">
        <v>629</v>
      </c>
      <c r="B213" t="s">
        <v>43</v>
      </c>
      <c r="C213">
        <v>2016</v>
      </c>
      <c r="D213" t="s">
        <v>95</v>
      </c>
      <c r="E213" t="s">
        <v>104</v>
      </c>
      <c r="F213" t="s">
        <v>630</v>
      </c>
      <c r="G213">
        <v>300</v>
      </c>
      <c r="H213" t="s">
        <v>20</v>
      </c>
      <c r="I213" t="s">
        <v>151</v>
      </c>
      <c r="J213" t="s">
        <v>92</v>
      </c>
      <c r="K213" s="4">
        <v>467.93</v>
      </c>
      <c r="L213" t="s">
        <v>631</v>
      </c>
      <c r="M213" s="1">
        <v>46478</v>
      </c>
      <c r="N213" t="s">
        <v>75</v>
      </c>
      <c r="O213" t="s">
        <v>25</v>
      </c>
    </row>
    <row r="214" spans="1:15" x14ac:dyDescent="0.25">
      <c r="A214" t="s">
        <v>632</v>
      </c>
      <c r="B214" t="s">
        <v>53</v>
      </c>
      <c r="C214">
        <v>1990</v>
      </c>
      <c r="D214" t="s">
        <v>17</v>
      </c>
      <c r="E214" t="s">
        <v>45</v>
      </c>
      <c r="F214" t="s">
        <v>67</v>
      </c>
      <c r="G214">
        <v>520</v>
      </c>
      <c r="H214" t="s">
        <v>29</v>
      </c>
      <c r="I214" t="s">
        <v>151</v>
      </c>
      <c r="J214" t="s">
        <v>92</v>
      </c>
      <c r="K214" s="4">
        <v>308.07</v>
      </c>
      <c r="L214" t="s">
        <v>633</v>
      </c>
      <c r="M214" s="1">
        <v>45967</v>
      </c>
      <c r="N214" t="s">
        <v>41</v>
      </c>
      <c r="O214" t="s">
        <v>25</v>
      </c>
    </row>
    <row r="215" spans="1:15" x14ac:dyDescent="0.25">
      <c r="A215" t="s">
        <v>634</v>
      </c>
      <c r="B215" t="s">
        <v>59</v>
      </c>
      <c r="C215">
        <v>2006</v>
      </c>
      <c r="D215" t="s">
        <v>36</v>
      </c>
      <c r="E215" t="s">
        <v>45</v>
      </c>
      <c r="F215" t="s">
        <v>635</v>
      </c>
      <c r="G215">
        <v>830</v>
      </c>
      <c r="H215" t="s">
        <v>29</v>
      </c>
      <c r="I215" t="s">
        <v>151</v>
      </c>
      <c r="J215" t="s">
        <v>121</v>
      </c>
      <c r="K215" s="4">
        <v>434.88</v>
      </c>
      <c r="L215" t="s">
        <v>636</v>
      </c>
      <c r="M215" s="1">
        <v>46654</v>
      </c>
      <c r="N215" t="s">
        <v>41</v>
      </c>
      <c r="O215" t="s">
        <v>25</v>
      </c>
    </row>
    <row r="216" spans="1:15" x14ac:dyDescent="0.25">
      <c r="A216" t="s">
        <v>637</v>
      </c>
      <c r="B216" t="s">
        <v>35</v>
      </c>
      <c r="C216">
        <v>1995</v>
      </c>
      <c r="D216" t="s">
        <v>108</v>
      </c>
      <c r="E216" t="s">
        <v>99</v>
      </c>
      <c r="F216" t="s">
        <v>135</v>
      </c>
      <c r="G216">
        <v>290</v>
      </c>
      <c r="H216" t="s">
        <v>38</v>
      </c>
      <c r="I216" t="s">
        <v>80</v>
      </c>
      <c r="J216" t="s">
        <v>146</v>
      </c>
      <c r="K216" s="4">
        <v>493.48</v>
      </c>
      <c r="L216" t="s">
        <v>638</v>
      </c>
      <c r="M216" s="1">
        <v>46534</v>
      </c>
      <c r="N216" t="s">
        <v>24</v>
      </c>
      <c r="O216" t="s">
        <v>33</v>
      </c>
    </row>
    <row r="217" spans="1:15" x14ac:dyDescent="0.25">
      <c r="A217" t="s">
        <v>639</v>
      </c>
      <c r="B217" t="s">
        <v>35</v>
      </c>
      <c r="C217">
        <v>1991</v>
      </c>
      <c r="D217" t="s">
        <v>89</v>
      </c>
      <c r="E217" t="s">
        <v>72</v>
      </c>
      <c r="F217" t="s">
        <v>250</v>
      </c>
      <c r="G217">
        <v>120</v>
      </c>
      <c r="H217" t="s">
        <v>56</v>
      </c>
      <c r="I217" t="s">
        <v>48</v>
      </c>
      <c r="J217" t="s">
        <v>121</v>
      </c>
      <c r="K217" s="4">
        <v>94.41</v>
      </c>
      <c r="L217" t="s">
        <v>640</v>
      </c>
      <c r="M217" s="1">
        <v>46382</v>
      </c>
      <c r="N217" t="s">
        <v>41</v>
      </c>
      <c r="O217" t="s">
        <v>25</v>
      </c>
    </row>
    <row r="218" spans="1:15" x14ac:dyDescent="0.25">
      <c r="A218" t="s">
        <v>641</v>
      </c>
      <c r="B218" t="s">
        <v>35</v>
      </c>
      <c r="C218">
        <v>1995</v>
      </c>
      <c r="D218" t="s">
        <v>71</v>
      </c>
      <c r="E218" t="s">
        <v>45</v>
      </c>
      <c r="F218" t="s">
        <v>642</v>
      </c>
      <c r="G218">
        <v>980</v>
      </c>
      <c r="H218" t="s">
        <v>20</v>
      </c>
      <c r="I218" t="s">
        <v>186</v>
      </c>
      <c r="J218" t="s">
        <v>22</v>
      </c>
      <c r="K218" s="4">
        <v>465.51</v>
      </c>
      <c r="L218" t="s">
        <v>643</v>
      </c>
      <c r="M218" s="1">
        <v>46793</v>
      </c>
      <c r="N218" t="s">
        <v>75</v>
      </c>
      <c r="O218" t="s">
        <v>51</v>
      </c>
    </row>
    <row r="219" spans="1:15" x14ac:dyDescent="0.25">
      <c r="A219" t="s">
        <v>644</v>
      </c>
      <c r="B219" t="s">
        <v>43</v>
      </c>
      <c r="C219">
        <v>2005</v>
      </c>
      <c r="D219" t="s">
        <v>17</v>
      </c>
      <c r="E219" t="s">
        <v>78</v>
      </c>
      <c r="F219" t="s">
        <v>142</v>
      </c>
      <c r="G219">
        <v>690</v>
      </c>
      <c r="H219" t="s">
        <v>85</v>
      </c>
      <c r="I219" t="s">
        <v>86</v>
      </c>
      <c r="J219" t="s">
        <v>49</v>
      </c>
      <c r="K219" s="4">
        <v>222.63</v>
      </c>
      <c r="L219" t="s">
        <v>645</v>
      </c>
      <c r="M219" s="1">
        <v>45871</v>
      </c>
      <c r="N219" t="s">
        <v>24</v>
      </c>
      <c r="O219" t="s">
        <v>25</v>
      </c>
    </row>
    <row r="220" spans="1:15" x14ac:dyDescent="0.25">
      <c r="A220" t="s">
        <v>646</v>
      </c>
      <c r="B220" t="s">
        <v>98</v>
      </c>
      <c r="C220">
        <v>1999</v>
      </c>
      <c r="D220" t="s">
        <v>89</v>
      </c>
      <c r="E220" t="s">
        <v>60</v>
      </c>
      <c r="F220" t="s">
        <v>647</v>
      </c>
      <c r="G220">
        <v>20</v>
      </c>
      <c r="H220" t="s">
        <v>38</v>
      </c>
      <c r="I220" t="s">
        <v>186</v>
      </c>
      <c r="J220" t="s">
        <v>92</v>
      </c>
      <c r="K220" s="4">
        <v>251.24</v>
      </c>
      <c r="L220" t="s">
        <v>648</v>
      </c>
      <c r="M220" s="1">
        <v>46679</v>
      </c>
      <c r="N220" t="s">
        <v>41</v>
      </c>
      <c r="O220" t="s">
        <v>25</v>
      </c>
    </row>
    <row r="221" spans="1:15" x14ac:dyDescent="0.25">
      <c r="A221" t="s">
        <v>649</v>
      </c>
      <c r="B221" t="s">
        <v>43</v>
      </c>
      <c r="C221">
        <v>2005</v>
      </c>
      <c r="D221" t="s">
        <v>44</v>
      </c>
      <c r="E221" t="s">
        <v>99</v>
      </c>
      <c r="F221" t="s">
        <v>320</v>
      </c>
      <c r="G221">
        <v>600</v>
      </c>
      <c r="H221" t="s">
        <v>47</v>
      </c>
      <c r="I221" t="s">
        <v>73</v>
      </c>
      <c r="J221" t="s">
        <v>22</v>
      </c>
      <c r="K221" s="4">
        <v>289.79000000000002</v>
      </c>
      <c r="L221" t="s">
        <v>650</v>
      </c>
      <c r="M221" s="1">
        <v>46648</v>
      </c>
      <c r="N221" t="s">
        <v>24</v>
      </c>
      <c r="O221" t="s">
        <v>33</v>
      </c>
    </row>
    <row r="222" spans="1:15" x14ac:dyDescent="0.25">
      <c r="A222" t="s">
        <v>651</v>
      </c>
      <c r="B222" t="s">
        <v>53</v>
      </c>
      <c r="C222">
        <v>1999</v>
      </c>
      <c r="D222" t="s">
        <v>66</v>
      </c>
      <c r="E222" t="s">
        <v>116</v>
      </c>
      <c r="F222" t="s">
        <v>180</v>
      </c>
      <c r="G222">
        <v>20</v>
      </c>
      <c r="H222" t="s">
        <v>20</v>
      </c>
      <c r="I222" t="s">
        <v>151</v>
      </c>
      <c r="J222" t="s">
        <v>121</v>
      </c>
      <c r="K222" s="4">
        <v>249.46</v>
      </c>
      <c r="L222" t="s">
        <v>652</v>
      </c>
      <c r="M222" s="1">
        <v>46879</v>
      </c>
      <c r="N222" t="s">
        <v>41</v>
      </c>
      <c r="O222" t="s">
        <v>33</v>
      </c>
    </row>
    <row r="223" spans="1:15" x14ac:dyDescent="0.25">
      <c r="A223" t="s">
        <v>653</v>
      </c>
      <c r="B223" t="s">
        <v>35</v>
      </c>
      <c r="C223">
        <v>2007</v>
      </c>
      <c r="D223" t="s">
        <v>44</v>
      </c>
      <c r="E223" t="s">
        <v>54</v>
      </c>
      <c r="F223" t="s">
        <v>654</v>
      </c>
      <c r="G223">
        <v>310</v>
      </c>
      <c r="H223" t="s">
        <v>62</v>
      </c>
      <c r="I223" t="s">
        <v>30</v>
      </c>
      <c r="J223" t="s">
        <v>22</v>
      </c>
      <c r="K223" s="4">
        <v>447.01</v>
      </c>
      <c r="L223" t="s">
        <v>655</v>
      </c>
      <c r="M223" s="1">
        <v>46102</v>
      </c>
      <c r="N223" t="s">
        <v>75</v>
      </c>
      <c r="O223" t="s">
        <v>25</v>
      </c>
    </row>
    <row r="224" spans="1:15" x14ac:dyDescent="0.25">
      <c r="A224" t="s">
        <v>656</v>
      </c>
      <c r="B224" t="s">
        <v>35</v>
      </c>
      <c r="C224">
        <v>2018</v>
      </c>
      <c r="D224" t="s">
        <v>36</v>
      </c>
      <c r="E224" t="s">
        <v>99</v>
      </c>
      <c r="F224" t="s">
        <v>142</v>
      </c>
      <c r="G224">
        <v>620</v>
      </c>
      <c r="H224" t="s">
        <v>47</v>
      </c>
      <c r="I224" t="s">
        <v>151</v>
      </c>
      <c r="J224" t="s">
        <v>49</v>
      </c>
      <c r="K224" s="4">
        <v>125.29</v>
      </c>
      <c r="L224" t="s">
        <v>657</v>
      </c>
      <c r="M224" s="1">
        <v>46231</v>
      </c>
      <c r="N224" t="s">
        <v>75</v>
      </c>
      <c r="O224" t="s">
        <v>33</v>
      </c>
    </row>
    <row r="225" spans="1:15" x14ac:dyDescent="0.25">
      <c r="A225" t="s">
        <v>658</v>
      </c>
      <c r="B225" t="s">
        <v>77</v>
      </c>
      <c r="C225">
        <v>2013</v>
      </c>
      <c r="D225" t="s">
        <v>27</v>
      </c>
      <c r="E225" t="s">
        <v>54</v>
      </c>
      <c r="F225" t="s">
        <v>180</v>
      </c>
      <c r="G225">
        <v>620</v>
      </c>
      <c r="H225" t="s">
        <v>20</v>
      </c>
      <c r="I225" t="s">
        <v>91</v>
      </c>
      <c r="J225" t="s">
        <v>125</v>
      </c>
      <c r="K225" s="4">
        <v>98.67</v>
      </c>
      <c r="L225" t="s">
        <v>659</v>
      </c>
      <c r="M225" s="1">
        <v>45915</v>
      </c>
      <c r="N225" t="s">
        <v>75</v>
      </c>
      <c r="O225" t="s">
        <v>51</v>
      </c>
    </row>
    <row r="226" spans="1:15" x14ac:dyDescent="0.25">
      <c r="A226" t="s">
        <v>660</v>
      </c>
      <c r="B226" t="s">
        <v>77</v>
      </c>
      <c r="C226">
        <v>1997</v>
      </c>
      <c r="D226" t="s">
        <v>36</v>
      </c>
      <c r="E226" t="s">
        <v>45</v>
      </c>
      <c r="F226" t="s">
        <v>661</v>
      </c>
      <c r="G226">
        <v>380</v>
      </c>
      <c r="H226" t="s">
        <v>20</v>
      </c>
      <c r="I226" t="s">
        <v>39</v>
      </c>
      <c r="J226" t="s">
        <v>49</v>
      </c>
      <c r="K226" s="4">
        <v>437.08</v>
      </c>
      <c r="L226" t="s">
        <v>662</v>
      </c>
      <c r="M226" s="1">
        <v>45941</v>
      </c>
      <c r="N226" t="s">
        <v>75</v>
      </c>
      <c r="O226" t="s">
        <v>33</v>
      </c>
    </row>
    <row r="227" spans="1:15" x14ac:dyDescent="0.25">
      <c r="A227" t="s">
        <v>663</v>
      </c>
      <c r="B227" t="s">
        <v>43</v>
      </c>
      <c r="C227">
        <v>2007</v>
      </c>
      <c r="D227" t="s">
        <v>71</v>
      </c>
      <c r="E227" t="s">
        <v>45</v>
      </c>
      <c r="F227" t="s">
        <v>79</v>
      </c>
      <c r="G227">
        <v>470</v>
      </c>
      <c r="H227" t="s">
        <v>47</v>
      </c>
      <c r="I227" t="s">
        <v>48</v>
      </c>
      <c r="J227" t="s">
        <v>110</v>
      </c>
      <c r="K227" s="4">
        <v>107.65</v>
      </c>
      <c r="L227" t="s">
        <v>664</v>
      </c>
      <c r="M227" s="1">
        <v>46232</v>
      </c>
      <c r="N227" t="s">
        <v>41</v>
      </c>
      <c r="O227" t="s">
        <v>33</v>
      </c>
    </row>
    <row r="228" spans="1:15" x14ac:dyDescent="0.25">
      <c r="A228" t="s">
        <v>665</v>
      </c>
      <c r="B228" t="s">
        <v>70</v>
      </c>
      <c r="C228">
        <v>2010</v>
      </c>
      <c r="D228" t="s">
        <v>27</v>
      </c>
      <c r="E228" t="s">
        <v>60</v>
      </c>
      <c r="F228" t="s">
        <v>302</v>
      </c>
      <c r="G228">
        <v>850</v>
      </c>
      <c r="H228" t="s">
        <v>20</v>
      </c>
      <c r="I228" t="s">
        <v>39</v>
      </c>
      <c r="J228" t="s">
        <v>49</v>
      </c>
      <c r="K228" s="4">
        <v>414.42</v>
      </c>
      <c r="L228" t="s">
        <v>666</v>
      </c>
      <c r="M228" s="1">
        <v>46865</v>
      </c>
      <c r="N228" t="s">
        <v>24</v>
      </c>
      <c r="O228" t="s">
        <v>33</v>
      </c>
    </row>
    <row r="229" spans="1:15" x14ac:dyDescent="0.25">
      <c r="A229" t="s">
        <v>667</v>
      </c>
      <c r="B229" t="s">
        <v>98</v>
      </c>
      <c r="C229">
        <v>2016</v>
      </c>
      <c r="D229" t="s">
        <v>66</v>
      </c>
      <c r="E229" t="s">
        <v>18</v>
      </c>
      <c r="F229" t="s">
        <v>668</v>
      </c>
      <c r="G229">
        <v>80</v>
      </c>
      <c r="H229" t="s">
        <v>29</v>
      </c>
      <c r="I229" t="s">
        <v>91</v>
      </c>
      <c r="J229" t="s">
        <v>146</v>
      </c>
      <c r="K229" s="4">
        <v>421.61</v>
      </c>
      <c r="L229" t="s">
        <v>669</v>
      </c>
      <c r="M229" s="1">
        <v>46766</v>
      </c>
      <c r="N229" t="s">
        <v>24</v>
      </c>
      <c r="O229" t="s">
        <v>33</v>
      </c>
    </row>
    <row r="230" spans="1:15" x14ac:dyDescent="0.25">
      <c r="A230" t="s">
        <v>670</v>
      </c>
      <c r="B230" t="s">
        <v>35</v>
      </c>
      <c r="C230">
        <v>1996</v>
      </c>
      <c r="D230" t="s">
        <v>17</v>
      </c>
      <c r="E230" t="s">
        <v>116</v>
      </c>
      <c r="F230" t="s">
        <v>195</v>
      </c>
      <c r="G230">
        <v>200</v>
      </c>
      <c r="H230" t="s">
        <v>56</v>
      </c>
      <c r="I230" t="s">
        <v>30</v>
      </c>
      <c r="J230" t="s">
        <v>125</v>
      </c>
      <c r="K230" s="4">
        <v>481.57</v>
      </c>
      <c r="L230" t="s">
        <v>671</v>
      </c>
      <c r="M230" s="1">
        <v>46630</v>
      </c>
      <c r="N230" t="s">
        <v>41</v>
      </c>
      <c r="O230" t="s">
        <v>51</v>
      </c>
    </row>
    <row r="231" spans="1:15" x14ac:dyDescent="0.25">
      <c r="A231" t="s">
        <v>672</v>
      </c>
      <c r="B231" t="s">
        <v>134</v>
      </c>
      <c r="C231">
        <v>2008</v>
      </c>
      <c r="D231" t="s">
        <v>17</v>
      </c>
      <c r="E231" t="s">
        <v>72</v>
      </c>
      <c r="F231" t="s">
        <v>572</v>
      </c>
      <c r="G231">
        <v>650</v>
      </c>
      <c r="H231" t="s">
        <v>62</v>
      </c>
      <c r="I231" t="s">
        <v>91</v>
      </c>
      <c r="J231" t="s">
        <v>31</v>
      </c>
      <c r="K231" s="4">
        <v>190.13</v>
      </c>
      <c r="L231" t="s">
        <v>673</v>
      </c>
      <c r="M231" s="1">
        <v>46034</v>
      </c>
      <c r="N231" t="s">
        <v>24</v>
      </c>
      <c r="O231" t="s">
        <v>51</v>
      </c>
    </row>
    <row r="232" spans="1:15" x14ac:dyDescent="0.25">
      <c r="A232" t="s">
        <v>674</v>
      </c>
      <c r="B232" t="s">
        <v>59</v>
      </c>
      <c r="C232">
        <v>2011</v>
      </c>
      <c r="D232" t="s">
        <v>27</v>
      </c>
      <c r="E232" t="s">
        <v>78</v>
      </c>
      <c r="F232" t="s">
        <v>135</v>
      </c>
      <c r="G232">
        <v>910</v>
      </c>
      <c r="H232" t="s">
        <v>85</v>
      </c>
      <c r="I232" t="s">
        <v>30</v>
      </c>
      <c r="J232" t="s">
        <v>125</v>
      </c>
      <c r="K232" s="4">
        <v>449.88</v>
      </c>
      <c r="L232" t="s">
        <v>675</v>
      </c>
      <c r="M232" s="1">
        <v>46436</v>
      </c>
      <c r="N232" t="s">
        <v>41</v>
      </c>
      <c r="O232" t="s">
        <v>33</v>
      </c>
    </row>
    <row r="233" spans="1:15" x14ac:dyDescent="0.25">
      <c r="A233" t="s">
        <v>676</v>
      </c>
      <c r="B233" t="s">
        <v>77</v>
      </c>
      <c r="C233">
        <v>2021</v>
      </c>
      <c r="D233" t="s">
        <v>108</v>
      </c>
      <c r="E233" t="s">
        <v>72</v>
      </c>
      <c r="F233" t="s">
        <v>139</v>
      </c>
      <c r="G233">
        <v>80</v>
      </c>
      <c r="H233" t="s">
        <v>29</v>
      </c>
      <c r="I233" t="s">
        <v>151</v>
      </c>
      <c r="J233" t="s">
        <v>31</v>
      </c>
      <c r="K233" s="4">
        <v>404.37</v>
      </c>
      <c r="L233" t="s">
        <v>677</v>
      </c>
      <c r="M233" s="1">
        <v>46597</v>
      </c>
      <c r="N233" t="s">
        <v>24</v>
      </c>
      <c r="O233" t="s">
        <v>33</v>
      </c>
    </row>
    <row r="234" spans="1:15" x14ac:dyDescent="0.25">
      <c r="A234" t="s">
        <v>678</v>
      </c>
      <c r="B234" t="s">
        <v>77</v>
      </c>
      <c r="C234">
        <v>2003</v>
      </c>
      <c r="D234" t="s">
        <v>71</v>
      </c>
      <c r="E234" t="s">
        <v>18</v>
      </c>
      <c r="F234" t="s">
        <v>679</v>
      </c>
      <c r="G234">
        <v>110</v>
      </c>
      <c r="H234" t="s">
        <v>38</v>
      </c>
      <c r="I234" t="s">
        <v>80</v>
      </c>
      <c r="J234" t="s">
        <v>22</v>
      </c>
      <c r="K234" s="4">
        <v>105.88</v>
      </c>
      <c r="L234" t="s">
        <v>680</v>
      </c>
      <c r="M234" s="1">
        <v>45976</v>
      </c>
      <c r="N234" t="s">
        <v>24</v>
      </c>
      <c r="O234" t="s">
        <v>25</v>
      </c>
    </row>
    <row r="235" spans="1:15" x14ac:dyDescent="0.25">
      <c r="A235" t="s">
        <v>681</v>
      </c>
      <c r="B235" t="s">
        <v>43</v>
      </c>
      <c r="C235">
        <v>1994</v>
      </c>
      <c r="D235" t="s">
        <v>71</v>
      </c>
      <c r="E235" t="s">
        <v>60</v>
      </c>
      <c r="F235" t="s">
        <v>217</v>
      </c>
      <c r="G235">
        <v>400</v>
      </c>
      <c r="H235" t="s">
        <v>20</v>
      </c>
      <c r="I235" t="s">
        <v>21</v>
      </c>
      <c r="J235" t="s">
        <v>110</v>
      </c>
      <c r="K235" s="4">
        <v>136.24</v>
      </c>
      <c r="L235" t="s">
        <v>682</v>
      </c>
      <c r="M235" s="1">
        <v>46199</v>
      </c>
      <c r="N235" t="s">
        <v>75</v>
      </c>
      <c r="O235" t="s">
        <v>25</v>
      </c>
    </row>
    <row r="236" spans="1:15" x14ac:dyDescent="0.25">
      <c r="A236" t="s">
        <v>683</v>
      </c>
      <c r="B236" t="s">
        <v>134</v>
      </c>
      <c r="C236">
        <v>1996</v>
      </c>
      <c r="D236" t="s">
        <v>89</v>
      </c>
      <c r="E236" t="s">
        <v>78</v>
      </c>
      <c r="F236" t="s">
        <v>684</v>
      </c>
      <c r="G236">
        <v>240</v>
      </c>
      <c r="H236" t="s">
        <v>20</v>
      </c>
      <c r="I236" t="s">
        <v>30</v>
      </c>
      <c r="J236" t="s">
        <v>22</v>
      </c>
      <c r="K236" s="4">
        <v>97.37</v>
      </c>
      <c r="L236" t="s">
        <v>685</v>
      </c>
      <c r="M236" s="1">
        <v>46848</v>
      </c>
      <c r="N236" t="s">
        <v>41</v>
      </c>
      <c r="O236" t="s">
        <v>51</v>
      </c>
    </row>
    <row r="237" spans="1:15" x14ac:dyDescent="0.25">
      <c r="A237" t="s">
        <v>686</v>
      </c>
      <c r="B237" t="s">
        <v>59</v>
      </c>
      <c r="C237">
        <v>2011</v>
      </c>
      <c r="D237" t="s">
        <v>89</v>
      </c>
      <c r="E237" t="s">
        <v>60</v>
      </c>
      <c r="F237" t="s">
        <v>135</v>
      </c>
      <c r="G237">
        <v>770</v>
      </c>
      <c r="H237" t="s">
        <v>62</v>
      </c>
      <c r="I237" t="s">
        <v>91</v>
      </c>
      <c r="J237" t="s">
        <v>121</v>
      </c>
      <c r="K237" s="4">
        <v>107.86</v>
      </c>
      <c r="L237" t="s">
        <v>687</v>
      </c>
      <c r="M237" s="1">
        <v>46026</v>
      </c>
      <c r="N237" t="s">
        <v>41</v>
      </c>
      <c r="O237" t="s">
        <v>51</v>
      </c>
    </row>
    <row r="238" spans="1:15" x14ac:dyDescent="0.25">
      <c r="A238" t="s">
        <v>688</v>
      </c>
      <c r="B238" t="s">
        <v>70</v>
      </c>
      <c r="C238">
        <v>2003</v>
      </c>
      <c r="D238" t="s">
        <v>17</v>
      </c>
      <c r="E238" t="s">
        <v>18</v>
      </c>
      <c r="F238" t="s">
        <v>145</v>
      </c>
      <c r="G238">
        <v>980</v>
      </c>
      <c r="H238" t="s">
        <v>29</v>
      </c>
      <c r="I238" t="s">
        <v>21</v>
      </c>
      <c r="J238" t="s">
        <v>22</v>
      </c>
      <c r="K238" s="4">
        <v>383.1</v>
      </c>
      <c r="L238" t="s">
        <v>689</v>
      </c>
      <c r="M238" s="1">
        <v>46643</v>
      </c>
      <c r="N238" t="s">
        <v>41</v>
      </c>
      <c r="O238" t="s">
        <v>51</v>
      </c>
    </row>
    <row r="239" spans="1:15" x14ac:dyDescent="0.25">
      <c r="A239" t="s">
        <v>690</v>
      </c>
      <c r="B239" t="s">
        <v>138</v>
      </c>
      <c r="C239">
        <v>2019</v>
      </c>
      <c r="D239" t="s">
        <v>89</v>
      </c>
      <c r="E239" t="s">
        <v>18</v>
      </c>
      <c r="F239" t="s">
        <v>61</v>
      </c>
      <c r="G239">
        <v>700</v>
      </c>
      <c r="H239" t="s">
        <v>62</v>
      </c>
      <c r="I239" t="s">
        <v>48</v>
      </c>
      <c r="J239" t="s">
        <v>146</v>
      </c>
      <c r="K239" s="4">
        <v>181.84</v>
      </c>
      <c r="L239" t="s">
        <v>691</v>
      </c>
      <c r="M239" s="1">
        <v>46888</v>
      </c>
      <c r="N239" t="s">
        <v>41</v>
      </c>
      <c r="O239" t="s">
        <v>25</v>
      </c>
    </row>
    <row r="240" spans="1:15" x14ac:dyDescent="0.25">
      <c r="A240" t="s">
        <v>692</v>
      </c>
      <c r="B240" t="s">
        <v>98</v>
      </c>
      <c r="C240">
        <v>2022</v>
      </c>
      <c r="D240" t="s">
        <v>27</v>
      </c>
      <c r="E240" t="s">
        <v>78</v>
      </c>
      <c r="F240" t="s">
        <v>61</v>
      </c>
      <c r="G240">
        <v>620</v>
      </c>
      <c r="H240" t="s">
        <v>56</v>
      </c>
      <c r="I240" t="s">
        <v>73</v>
      </c>
      <c r="J240" t="s">
        <v>110</v>
      </c>
      <c r="K240" s="4">
        <v>196.19</v>
      </c>
      <c r="L240" t="s">
        <v>693</v>
      </c>
      <c r="M240" s="1">
        <v>46186</v>
      </c>
      <c r="N240" t="s">
        <v>41</v>
      </c>
      <c r="O240" t="s">
        <v>33</v>
      </c>
    </row>
    <row r="241" spans="1:15" x14ac:dyDescent="0.25">
      <c r="A241" t="s">
        <v>694</v>
      </c>
      <c r="B241" t="s">
        <v>59</v>
      </c>
      <c r="C241">
        <v>2022</v>
      </c>
      <c r="D241" t="s">
        <v>108</v>
      </c>
      <c r="E241" t="s">
        <v>18</v>
      </c>
      <c r="F241" t="s">
        <v>695</v>
      </c>
      <c r="G241">
        <v>910</v>
      </c>
      <c r="H241" t="s">
        <v>62</v>
      </c>
      <c r="I241" t="s">
        <v>21</v>
      </c>
      <c r="J241" t="s">
        <v>110</v>
      </c>
      <c r="K241" s="4">
        <v>443.8</v>
      </c>
      <c r="L241" t="s">
        <v>696</v>
      </c>
      <c r="M241" s="1">
        <v>46342</v>
      </c>
      <c r="N241" t="s">
        <v>75</v>
      </c>
      <c r="O241" t="s">
        <v>25</v>
      </c>
    </row>
    <row r="242" spans="1:15" x14ac:dyDescent="0.25">
      <c r="A242" t="s">
        <v>697</v>
      </c>
      <c r="B242" t="s">
        <v>70</v>
      </c>
      <c r="C242">
        <v>2016</v>
      </c>
      <c r="D242" t="s">
        <v>36</v>
      </c>
      <c r="E242" t="s">
        <v>60</v>
      </c>
      <c r="F242" t="s">
        <v>135</v>
      </c>
      <c r="G242">
        <v>580</v>
      </c>
      <c r="H242" t="s">
        <v>47</v>
      </c>
      <c r="I242" t="s">
        <v>86</v>
      </c>
      <c r="J242" t="s">
        <v>121</v>
      </c>
      <c r="K242" s="4">
        <v>175.68</v>
      </c>
      <c r="L242" t="s">
        <v>698</v>
      </c>
      <c r="M242" s="1">
        <v>46446</v>
      </c>
      <c r="N242" t="s">
        <v>75</v>
      </c>
      <c r="O242" t="s">
        <v>51</v>
      </c>
    </row>
    <row r="243" spans="1:15" x14ac:dyDescent="0.25">
      <c r="A243" t="s">
        <v>699</v>
      </c>
      <c r="B243" t="s">
        <v>16</v>
      </c>
      <c r="C243">
        <v>1995</v>
      </c>
      <c r="D243" t="s">
        <v>36</v>
      </c>
      <c r="E243" t="s">
        <v>104</v>
      </c>
      <c r="F243" t="s">
        <v>700</v>
      </c>
      <c r="G243">
        <v>320</v>
      </c>
      <c r="H243" t="s">
        <v>56</v>
      </c>
      <c r="I243" t="s">
        <v>30</v>
      </c>
      <c r="J243" t="s">
        <v>31</v>
      </c>
      <c r="K243" s="4">
        <v>344.36</v>
      </c>
      <c r="L243" t="s">
        <v>701</v>
      </c>
      <c r="M243" s="1">
        <v>46070</v>
      </c>
      <c r="N243" t="s">
        <v>75</v>
      </c>
      <c r="O243" t="s">
        <v>33</v>
      </c>
    </row>
    <row r="244" spans="1:15" x14ac:dyDescent="0.25">
      <c r="A244" t="s">
        <v>702</v>
      </c>
      <c r="B244" t="s">
        <v>77</v>
      </c>
      <c r="C244">
        <v>2024</v>
      </c>
      <c r="D244" t="s">
        <v>108</v>
      </c>
      <c r="E244" t="s">
        <v>104</v>
      </c>
      <c r="F244" t="s">
        <v>139</v>
      </c>
      <c r="G244">
        <v>370</v>
      </c>
      <c r="H244" t="s">
        <v>85</v>
      </c>
      <c r="I244" t="s">
        <v>30</v>
      </c>
      <c r="J244" t="s">
        <v>22</v>
      </c>
      <c r="K244" s="4">
        <v>199.39</v>
      </c>
      <c r="L244" t="s">
        <v>703</v>
      </c>
      <c r="M244" s="1">
        <v>46400</v>
      </c>
      <c r="N244" t="s">
        <v>41</v>
      </c>
      <c r="O244" t="s">
        <v>33</v>
      </c>
    </row>
    <row r="245" spans="1:15" x14ac:dyDescent="0.25">
      <c r="A245" t="s">
        <v>704</v>
      </c>
      <c r="B245" t="s">
        <v>134</v>
      </c>
      <c r="C245">
        <v>2002</v>
      </c>
      <c r="D245" t="s">
        <v>89</v>
      </c>
      <c r="E245" t="s">
        <v>54</v>
      </c>
      <c r="F245" t="s">
        <v>705</v>
      </c>
      <c r="G245">
        <v>720</v>
      </c>
      <c r="H245" t="s">
        <v>85</v>
      </c>
      <c r="I245" t="s">
        <v>151</v>
      </c>
      <c r="J245" t="s">
        <v>125</v>
      </c>
      <c r="K245" s="4">
        <v>215.88</v>
      </c>
      <c r="L245" t="s">
        <v>706</v>
      </c>
      <c r="M245" s="1">
        <v>46925</v>
      </c>
      <c r="N245" t="s">
        <v>75</v>
      </c>
      <c r="O245" t="s">
        <v>25</v>
      </c>
    </row>
    <row r="246" spans="1:15" x14ac:dyDescent="0.25">
      <c r="A246" t="s">
        <v>707</v>
      </c>
      <c r="B246" t="s">
        <v>77</v>
      </c>
      <c r="C246">
        <v>2020</v>
      </c>
      <c r="D246" t="s">
        <v>27</v>
      </c>
      <c r="E246" t="s">
        <v>72</v>
      </c>
      <c r="F246" t="s">
        <v>139</v>
      </c>
      <c r="G246">
        <v>910</v>
      </c>
      <c r="H246" t="s">
        <v>62</v>
      </c>
      <c r="I246" t="s">
        <v>21</v>
      </c>
      <c r="J246" t="s">
        <v>125</v>
      </c>
      <c r="K246" s="4">
        <v>119.31</v>
      </c>
      <c r="L246" t="s">
        <v>708</v>
      </c>
      <c r="M246" s="1">
        <v>46425</v>
      </c>
      <c r="N246" t="s">
        <v>41</v>
      </c>
      <c r="O246" t="s">
        <v>25</v>
      </c>
    </row>
    <row r="247" spans="1:15" x14ac:dyDescent="0.25">
      <c r="A247" t="s">
        <v>709</v>
      </c>
      <c r="B247" t="s">
        <v>16</v>
      </c>
      <c r="C247">
        <v>2015</v>
      </c>
      <c r="D247" t="s">
        <v>17</v>
      </c>
      <c r="E247" t="s">
        <v>45</v>
      </c>
      <c r="F247" t="s">
        <v>139</v>
      </c>
      <c r="G247">
        <v>40</v>
      </c>
      <c r="H247" t="s">
        <v>56</v>
      </c>
      <c r="I247" t="s">
        <v>73</v>
      </c>
      <c r="J247" t="s">
        <v>121</v>
      </c>
      <c r="K247" s="4">
        <v>44.73</v>
      </c>
      <c r="L247" t="s">
        <v>710</v>
      </c>
      <c r="M247" s="1">
        <v>46931</v>
      </c>
      <c r="N247" t="s">
        <v>24</v>
      </c>
      <c r="O247" t="s">
        <v>33</v>
      </c>
    </row>
    <row r="248" spans="1:15" x14ac:dyDescent="0.25">
      <c r="A248" t="s">
        <v>711</v>
      </c>
      <c r="B248" t="s">
        <v>77</v>
      </c>
      <c r="C248">
        <v>2023</v>
      </c>
      <c r="D248" t="s">
        <v>36</v>
      </c>
      <c r="E248" t="s">
        <v>72</v>
      </c>
      <c r="F248" t="s">
        <v>712</v>
      </c>
      <c r="G248">
        <v>560</v>
      </c>
      <c r="H248" t="s">
        <v>47</v>
      </c>
      <c r="I248" t="s">
        <v>21</v>
      </c>
      <c r="J248" t="s">
        <v>49</v>
      </c>
      <c r="K248" s="4">
        <v>64.8</v>
      </c>
      <c r="L248" t="s">
        <v>713</v>
      </c>
      <c r="M248" s="1">
        <v>46424</v>
      </c>
      <c r="N248" t="s">
        <v>41</v>
      </c>
      <c r="O248" t="s">
        <v>25</v>
      </c>
    </row>
    <row r="249" spans="1:15" x14ac:dyDescent="0.25">
      <c r="A249" t="s">
        <v>714</v>
      </c>
      <c r="B249" t="s">
        <v>77</v>
      </c>
      <c r="C249">
        <v>1997</v>
      </c>
      <c r="D249" t="s">
        <v>83</v>
      </c>
      <c r="E249" t="s">
        <v>45</v>
      </c>
      <c r="F249" t="s">
        <v>715</v>
      </c>
      <c r="G249">
        <v>970</v>
      </c>
      <c r="H249" t="s">
        <v>20</v>
      </c>
      <c r="I249" t="s">
        <v>151</v>
      </c>
      <c r="J249" t="s">
        <v>146</v>
      </c>
      <c r="K249" s="4">
        <v>320.52999999999997</v>
      </c>
      <c r="L249" t="s">
        <v>716</v>
      </c>
      <c r="M249" s="1">
        <v>46508</v>
      </c>
      <c r="N249" t="s">
        <v>41</v>
      </c>
      <c r="O249" t="s">
        <v>33</v>
      </c>
    </row>
    <row r="250" spans="1:15" x14ac:dyDescent="0.25">
      <c r="A250" t="s">
        <v>717</v>
      </c>
      <c r="B250" t="s">
        <v>134</v>
      </c>
      <c r="C250">
        <v>2017</v>
      </c>
      <c r="D250" t="s">
        <v>66</v>
      </c>
      <c r="E250" t="s">
        <v>54</v>
      </c>
      <c r="F250" t="s">
        <v>162</v>
      </c>
      <c r="G250">
        <v>110</v>
      </c>
      <c r="H250" t="s">
        <v>62</v>
      </c>
      <c r="I250" t="s">
        <v>73</v>
      </c>
      <c r="J250" t="s">
        <v>146</v>
      </c>
      <c r="K250" s="4">
        <v>426.36</v>
      </c>
      <c r="L250" t="s">
        <v>718</v>
      </c>
      <c r="M250" s="1">
        <v>46475</v>
      </c>
      <c r="N250" t="s">
        <v>75</v>
      </c>
      <c r="O250" t="s">
        <v>33</v>
      </c>
    </row>
    <row r="251" spans="1:15" x14ac:dyDescent="0.25">
      <c r="A251" t="s">
        <v>719</v>
      </c>
      <c r="B251" t="s">
        <v>70</v>
      </c>
      <c r="C251">
        <v>2015</v>
      </c>
      <c r="D251" t="s">
        <v>44</v>
      </c>
      <c r="E251" t="s">
        <v>18</v>
      </c>
      <c r="F251" t="s">
        <v>67</v>
      </c>
      <c r="G251">
        <v>490</v>
      </c>
      <c r="H251" t="s">
        <v>56</v>
      </c>
      <c r="I251" t="s">
        <v>39</v>
      </c>
      <c r="J251" t="s">
        <v>121</v>
      </c>
      <c r="K251" s="4">
        <v>104.4</v>
      </c>
      <c r="L251" t="s">
        <v>720</v>
      </c>
      <c r="M251" s="1">
        <v>46682</v>
      </c>
      <c r="N251" t="s">
        <v>24</v>
      </c>
      <c r="O251" t="s">
        <v>51</v>
      </c>
    </row>
    <row r="252" spans="1:15" x14ac:dyDescent="0.25">
      <c r="A252" t="s">
        <v>721</v>
      </c>
      <c r="B252" t="s">
        <v>98</v>
      </c>
      <c r="C252">
        <v>2002</v>
      </c>
      <c r="D252" t="s">
        <v>27</v>
      </c>
      <c r="E252" t="s">
        <v>45</v>
      </c>
      <c r="F252" t="s">
        <v>722</v>
      </c>
      <c r="G252">
        <v>440</v>
      </c>
      <c r="H252" t="s">
        <v>38</v>
      </c>
      <c r="I252" t="s">
        <v>30</v>
      </c>
      <c r="J252" t="s">
        <v>101</v>
      </c>
      <c r="K252" s="4">
        <v>35.97</v>
      </c>
      <c r="L252" t="s">
        <v>723</v>
      </c>
      <c r="M252" s="1">
        <v>46787</v>
      </c>
      <c r="N252" t="s">
        <v>24</v>
      </c>
      <c r="O252" t="s">
        <v>33</v>
      </c>
    </row>
    <row r="253" spans="1:15" x14ac:dyDescent="0.25">
      <c r="A253" t="s">
        <v>724</v>
      </c>
      <c r="B253" t="s">
        <v>53</v>
      </c>
      <c r="C253">
        <v>2017</v>
      </c>
      <c r="D253" t="s">
        <v>89</v>
      </c>
      <c r="E253" t="s">
        <v>60</v>
      </c>
      <c r="F253" t="s">
        <v>67</v>
      </c>
      <c r="G253">
        <v>700</v>
      </c>
      <c r="H253" t="s">
        <v>29</v>
      </c>
      <c r="I253" t="s">
        <v>86</v>
      </c>
      <c r="J253" t="s">
        <v>22</v>
      </c>
      <c r="K253" s="4">
        <v>364.1</v>
      </c>
      <c r="L253" t="s">
        <v>725</v>
      </c>
      <c r="M253" s="1">
        <v>46232</v>
      </c>
      <c r="N253" t="s">
        <v>41</v>
      </c>
      <c r="O253" t="s">
        <v>51</v>
      </c>
    </row>
    <row r="254" spans="1:15" x14ac:dyDescent="0.25">
      <c r="A254" t="s">
        <v>726</v>
      </c>
      <c r="B254" t="s">
        <v>59</v>
      </c>
      <c r="C254">
        <v>1997</v>
      </c>
      <c r="D254" t="s">
        <v>66</v>
      </c>
      <c r="E254" t="s">
        <v>104</v>
      </c>
      <c r="F254" t="s">
        <v>727</v>
      </c>
      <c r="G254">
        <v>690</v>
      </c>
      <c r="H254" t="s">
        <v>47</v>
      </c>
      <c r="I254" t="s">
        <v>80</v>
      </c>
      <c r="J254" t="s">
        <v>92</v>
      </c>
      <c r="K254" s="4">
        <v>5.63</v>
      </c>
      <c r="L254" t="s">
        <v>728</v>
      </c>
      <c r="M254" s="1">
        <v>46272</v>
      </c>
      <c r="N254" t="s">
        <v>41</v>
      </c>
      <c r="O254" t="s">
        <v>51</v>
      </c>
    </row>
    <row r="255" spans="1:15" x14ac:dyDescent="0.25">
      <c r="A255" t="s">
        <v>729</v>
      </c>
      <c r="B255" t="s">
        <v>16</v>
      </c>
      <c r="C255">
        <v>1995</v>
      </c>
      <c r="D255" t="s">
        <v>71</v>
      </c>
      <c r="E255" t="s">
        <v>104</v>
      </c>
      <c r="F255" t="s">
        <v>730</v>
      </c>
      <c r="G255">
        <v>300</v>
      </c>
      <c r="H255" t="s">
        <v>56</v>
      </c>
      <c r="I255" t="s">
        <v>80</v>
      </c>
      <c r="J255" t="s">
        <v>31</v>
      </c>
      <c r="K255" s="4">
        <v>39.92</v>
      </c>
      <c r="L255" t="s">
        <v>731</v>
      </c>
      <c r="M255" s="1">
        <v>46208</v>
      </c>
      <c r="N255" t="s">
        <v>41</v>
      </c>
      <c r="O255" t="s">
        <v>25</v>
      </c>
    </row>
    <row r="256" spans="1:15" x14ac:dyDescent="0.25">
      <c r="A256" t="s">
        <v>732</v>
      </c>
      <c r="B256" t="s">
        <v>138</v>
      </c>
      <c r="C256">
        <v>1993</v>
      </c>
      <c r="D256" t="s">
        <v>71</v>
      </c>
      <c r="E256" t="s">
        <v>18</v>
      </c>
      <c r="F256" t="s">
        <v>67</v>
      </c>
      <c r="G256">
        <v>630</v>
      </c>
      <c r="H256" t="s">
        <v>20</v>
      </c>
      <c r="I256" t="s">
        <v>73</v>
      </c>
      <c r="J256" t="s">
        <v>125</v>
      </c>
      <c r="K256" s="4">
        <v>266.63</v>
      </c>
      <c r="L256" t="s">
        <v>733</v>
      </c>
      <c r="M256" s="1">
        <v>46725</v>
      </c>
      <c r="N256" t="s">
        <v>24</v>
      </c>
      <c r="O256" t="s">
        <v>25</v>
      </c>
    </row>
    <row r="257" spans="1:15" x14ac:dyDescent="0.25">
      <c r="A257" t="s">
        <v>734</v>
      </c>
      <c r="B257" t="s">
        <v>35</v>
      </c>
      <c r="C257">
        <v>2012</v>
      </c>
      <c r="D257" t="s">
        <v>27</v>
      </c>
      <c r="E257" t="s">
        <v>60</v>
      </c>
      <c r="F257" t="s">
        <v>381</v>
      </c>
      <c r="G257">
        <v>10</v>
      </c>
      <c r="H257" t="s">
        <v>62</v>
      </c>
      <c r="I257" t="s">
        <v>30</v>
      </c>
      <c r="J257" t="s">
        <v>92</v>
      </c>
      <c r="K257" s="4">
        <v>88.99</v>
      </c>
      <c r="L257" t="s">
        <v>735</v>
      </c>
      <c r="M257" s="1">
        <v>46620</v>
      </c>
      <c r="N257" t="s">
        <v>41</v>
      </c>
      <c r="O257" t="s">
        <v>51</v>
      </c>
    </row>
    <row r="258" spans="1:15" x14ac:dyDescent="0.25">
      <c r="A258" t="s">
        <v>736</v>
      </c>
      <c r="B258" t="s">
        <v>77</v>
      </c>
      <c r="C258">
        <v>2017</v>
      </c>
      <c r="D258" t="s">
        <v>36</v>
      </c>
      <c r="E258" t="s">
        <v>54</v>
      </c>
      <c r="F258" t="s">
        <v>135</v>
      </c>
      <c r="G258">
        <v>200</v>
      </c>
      <c r="H258" t="s">
        <v>47</v>
      </c>
      <c r="I258" t="s">
        <v>80</v>
      </c>
      <c r="J258" t="s">
        <v>125</v>
      </c>
      <c r="K258" s="4">
        <v>299.39999999999998</v>
      </c>
      <c r="L258" t="s">
        <v>737</v>
      </c>
      <c r="M258" s="1">
        <v>45884</v>
      </c>
      <c r="N258" t="s">
        <v>75</v>
      </c>
      <c r="O258" t="s">
        <v>33</v>
      </c>
    </row>
    <row r="259" spans="1:15" x14ac:dyDescent="0.25">
      <c r="A259" t="s">
        <v>738</v>
      </c>
      <c r="B259" t="s">
        <v>59</v>
      </c>
      <c r="C259">
        <v>1992</v>
      </c>
      <c r="D259" t="s">
        <v>36</v>
      </c>
      <c r="E259" t="s">
        <v>18</v>
      </c>
      <c r="F259" t="s">
        <v>739</v>
      </c>
      <c r="G259">
        <v>410</v>
      </c>
      <c r="H259" t="s">
        <v>56</v>
      </c>
      <c r="I259" t="s">
        <v>73</v>
      </c>
      <c r="J259" t="s">
        <v>92</v>
      </c>
      <c r="K259" s="4">
        <v>469.51</v>
      </c>
      <c r="L259" t="s">
        <v>740</v>
      </c>
      <c r="M259" s="1">
        <v>46249</v>
      </c>
      <c r="N259" t="s">
        <v>75</v>
      </c>
      <c r="O259" t="s">
        <v>33</v>
      </c>
    </row>
    <row r="260" spans="1:15" x14ac:dyDescent="0.25">
      <c r="A260" t="s">
        <v>741</v>
      </c>
      <c r="B260" t="s">
        <v>43</v>
      </c>
      <c r="C260">
        <v>2023</v>
      </c>
      <c r="D260" t="s">
        <v>95</v>
      </c>
      <c r="E260" t="s">
        <v>99</v>
      </c>
      <c r="F260" t="s">
        <v>28</v>
      </c>
      <c r="G260">
        <v>520</v>
      </c>
      <c r="H260" t="s">
        <v>29</v>
      </c>
      <c r="I260" t="s">
        <v>186</v>
      </c>
      <c r="J260" t="s">
        <v>31</v>
      </c>
      <c r="K260" s="4">
        <v>358.5</v>
      </c>
      <c r="L260" t="s">
        <v>742</v>
      </c>
      <c r="M260" s="1">
        <v>46315</v>
      </c>
      <c r="N260" t="s">
        <v>24</v>
      </c>
      <c r="O260" t="s">
        <v>51</v>
      </c>
    </row>
    <row r="261" spans="1:15" x14ac:dyDescent="0.25">
      <c r="A261" t="s">
        <v>743</v>
      </c>
      <c r="B261" t="s">
        <v>70</v>
      </c>
      <c r="C261">
        <v>2006</v>
      </c>
      <c r="D261" t="s">
        <v>66</v>
      </c>
      <c r="E261" t="s">
        <v>119</v>
      </c>
      <c r="F261" t="s">
        <v>744</v>
      </c>
      <c r="G261">
        <v>870</v>
      </c>
      <c r="H261" t="s">
        <v>47</v>
      </c>
      <c r="I261" t="s">
        <v>86</v>
      </c>
      <c r="J261" t="s">
        <v>49</v>
      </c>
      <c r="K261" s="4">
        <v>149.4</v>
      </c>
      <c r="L261" t="s">
        <v>745</v>
      </c>
      <c r="M261" s="1">
        <v>45889</v>
      </c>
      <c r="N261" t="s">
        <v>24</v>
      </c>
      <c r="O261" t="s">
        <v>51</v>
      </c>
    </row>
    <row r="262" spans="1:15" x14ac:dyDescent="0.25">
      <c r="A262" t="s">
        <v>746</v>
      </c>
      <c r="B262" t="s">
        <v>138</v>
      </c>
      <c r="C262">
        <v>2015</v>
      </c>
      <c r="D262" t="s">
        <v>44</v>
      </c>
      <c r="E262" t="s">
        <v>45</v>
      </c>
      <c r="F262" t="s">
        <v>747</v>
      </c>
      <c r="G262">
        <v>860</v>
      </c>
      <c r="H262" t="s">
        <v>56</v>
      </c>
      <c r="I262" t="s">
        <v>86</v>
      </c>
      <c r="J262" t="s">
        <v>92</v>
      </c>
      <c r="K262" s="4">
        <v>285.08</v>
      </c>
      <c r="L262" t="s">
        <v>748</v>
      </c>
      <c r="M262" s="1">
        <v>45975</v>
      </c>
      <c r="N262" t="s">
        <v>41</v>
      </c>
      <c r="O262" t="s">
        <v>33</v>
      </c>
    </row>
    <row r="263" spans="1:15" x14ac:dyDescent="0.25">
      <c r="A263" t="s">
        <v>749</v>
      </c>
      <c r="B263" t="s">
        <v>35</v>
      </c>
      <c r="C263">
        <v>2019</v>
      </c>
      <c r="D263" t="s">
        <v>95</v>
      </c>
      <c r="E263" t="s">
        <v>104</v>
      </c>
      <c r="F263" t="s">
        <v>750</v>
      </c>
      <c r="G263">
        <v>290</v>
      </c>
      <c r="H263" t="s">
        <v>85</v>
      </c>
      <c r="I263" t="s">
        <v>151</v>
      </c>
      <c r="J263" t="s">
        <v>101</v>
      </c>
      <c r="K263" s="4">
        <v>305.61</v>
      </c>
      <c r="L263" t="s">
        <v>751</v>
      </c>
      <c r="M263" s="1">
        <v>46755</v>
      </c>
      <c r="N263" t="s">
        <v>41</v>
      </c>
      <c r="O263" t="s">
        <v>33</v>
      </c>
    </row>
    <row r="264" spans="1:15" x14ac:dyDescent="0.25">
      <c r="A264" t="s">
        <v>752</v>
      </c>
      <c r="B264" t="s">
        <v>134</v>
      </c>
      <c r="C264">
        <v>2024</v>
      </c>
      <c r="D264" t="s">
        <v>108</v>
      </c>
      <c r="E264" t="s">
        <v>45</v>
      </c>
      <c r="F264" t="s">
        <v>139</v>
      </c>
      <c r="G264">
        <v>80</v>
      </c>
      <c r="H264" t="s">
        <v>85</v>
      </c>
      <c r="I264" t="s">
        <v>151</v>
      </c>
      <c r="J264" t="s">
        <v>63</v>
      </c>
      <c r="K264" s="4">
        <v>486.8</v>
      </c>
      <c r="L264" t="s">
        <v>753</v>
      </c>
      <c r="M264" s="1">
        <v>46554</v>
      </c>
      <c r="N264" t="s">
        <v>75</v>
      </c>
      <c r="O264" t="s">
        <v>33</v>
      </c>
    </row>
    <row r="265" spans="1:15" x14ac:dyDescent="0.25">
      <c r="A265" t="s">
        <v>754</v>
      </c>
      <c r="B265" t="s">
        <v>59</v>
      </c>
      <c r="C265">
        <v>2004</v>
      </c>
      <c r="D265" t="s">
        <v>17</v>
      </c>
      <c r="E265" t="s">
        <v>45</v>
      </c>
      <c r="F265" t="s">
        <v>755</v>
      </c>
      <c r="G265">
        <v>970</v>
      </c>
      <c r="H265" t="s">
        <v>29</v>
      </c>
      <c r="I265" t="s">
        <v>48</v>
      </c>
      <c r="J265" t="s">
        <v>31</v>
      </c>
      <c r="K265" s="4">
        <v>315.27999999999997</v>
      </c>
      <c r="L265" t="s">
        <v>756</v>
      </c>
      <c r="M265" s="1">
        <v>46434</v>
      </c>
      <c r="N265" t="s">
        <v>24</v>
      </c>
      <c r="O265" t="s">
        <v>33</v>
      </c>
    </row>
    <row r="266" spans="1:15" x14ac:dyDescent="0.25">
      <c r="A266" t="s">
        <v>757</v>
      </c>
      <c r="B266" t="s">
        <v>77</v>
      </c>
      <c r="C266">
        <v>1997</v>
      </c>
      <c r="D266" t="s">
        <v>95</v>
      </c>
      <c r="E266" t="s">
        <v>104</v>
      </c>
      <c r="F266" t="s">
        <v>758</v>
      </c>
      <c r="G266">
        <v>440</v>
      </c>
      <c r="H266" t="s">
        <v>56</v>
      </c>
      <c r="I266" t="s">
        <v>91</v>
      </c>
      <c r="J266" t="s">
        <v>146</v>
      </c>
      <c r="K266" s="4">
        <v>292.3</v>
      </c>
      <c r="L266" t="s">
        <v>759</v>
      </c>
      <c r="M266" s="1">
        <v>46689</v>
      </c>
      <c r="N266" t="s">
        <v>75</v>
      </c>
      <c r="O266" t="s">
        <v>51</v>
      </c>
    </row>
    <row r="267" spans="1:15" x14ac:dyDescent="0.25">
      <c r="A267" t="s">
        <v>760</v>
      </c>
      <c r="B267" t="s">
        <v>59</v>
      </c>
      <c r="C267">
        <v>1997</v>
      </c>
      <c r="D267" t="s">
        <v>71</v>
      </c>
      <c r="E267" t="s">
        <v>60</v>
      </c>
      <c r="F267" t="s">
        <v>761</v>
      </c>
      <c r="G267">
        <v>550</v>
      </c>
      <c r="H267" t="s">
        <v>85</v>
      </c>
      <c r="I267" t="s">
        <v>91</v>
      </c>
      <c r="J267" t="s">
        <v>110</v>
      </c>
      <c r="K267" s="4">
        <v>19.48</v>
      </c>
      <c r="L267" t="s">
        <v>762</v>
      </c>
      <c r="M267" s="1">
        <v>46219</v>
      </c>
      <c r="N267" t="s">
        <v>24</v>
      </c>
      <c r="O267" t="s">
        <v>25</v>
      </c>
    </row>
    <row r="268" spans="1:15" x14ac:dyDescent="0.25">
      <c r="A268" t="s">
        <v>763</v>
      </c>
      <c r="B268" t="s">
        <v>59</v>
      </c>
      <c r="C268">
        <v>2002</v>
      </c>
      <c r="D268" t="s">
        <v>36</v>
      </c>
      <c r="E268" t="s">
        <v>45</v>
      </c>
      <c r="F268" t="s">
        <v>764</v>
      </c>
      <c r="G268">
        <v>840</v>
      </c>
      <c r="H268" t="s">
        <v>85</v>
      </c>
      <c r="I268" t="s">
        <v>151</v>
      </c>
      <c r="J268" t="s">
        <v>101</v>
      </c>
      <c r="K268" s="4">
        <v>406.83</v>
      </c>
      <c r="L268" t="s">
        <v>765</v>
      </c>
      <c r="M268" s="1">
        <v>46404</v>
      </c>
      <c r="N268" t="s">
        <v>75</v>
      </c>
      <c r="O268" t="s">
        <v>51</v>
      </c>
    </row>
    <row r="269" spans="1:15" x14ac:dyDescent="0.25">
      <c r="A269" t="s">
        <v>766</v>
      </c>
      <c r="B269" t="s">
        <v>59</v>
      </c>
      <c r="C269">
        <v>1998</v>
      </c>
      <c r="D269" t="s">
        <v>17</v>
      </c>
      <c r="E269" t="s">
        <v>119</v>
      </c>
      <c r="F269" t="s">
        <v>767</v>
      </c>
      <c r="G269">
        <v>900</v>
      </c>
      <c r="H269" t="s">
        <v>38</v>
      </c>
      <c r="I269" t="s">
        <v>39</v>
      </c>
      <c r="J269" t="s">
        <v>49</v>
      </c>
      <c r="K269" s="4">
        <v>427.93</v>
      </c>
      <c r="L269" t="s">
        <v>768</v>
      </c>
      <c r="M269" s="1">
        <v>45924</v>
      </c>
      <c r="N269" t="s">
        <v>41</v>
      </c>
      <c r="O269" t="s">
        <v>51</v>
      </c>
    </row>
    <row r="270" spans="1:15" x14ac:dyDescent="0.25">
      <c r="A270" t="s">
        <v>769</v>
      </c>
      <c r="B270" t="s">
        <v>70</v>
      </c>
      <c r="C270">
        <v>2022</v>
      </c>
      <c r="D270" t="s">
        <v>66</v>
      </c>
      <c r="E270" t="s">
        <v>99</v>
      </c>
      <c r="F270" t="s">
        <v>180</v>
      </c>
      <c r="G270">
        <v>210</v>
      </c>
      <c r="H270" t="s">
        <v>47</v>
      </c>
      <c r="I270" t="s">
        <v>30</v>
      </c>
      <c r="J270" t="s">
        <v>63</v>
      </c>
      <c r="K270" s="4">
        <v>341.26</v>
      </c>
      <c r="L270" t="s">
        <v>770</v>
      </c>
      <c r="M270" s="1">
        <v>46138</v>
      </c>
      <c r="N270" t="s">
        <v>41</v>
      </c>
      <c r="O270" t="s">
        <v>25</v>
      </c>
    </row>
    <row r="271" spans="1:15" x14ac:dyDescent="0.25">
      <c r="A271" t="s">
        <v>771</v>
      </c>
      <c r="B271" t="s">
        <v>53</v>
      </c>
      <c r="C271">
        <v>1992</v>
      </c>
      <c r="D271" t="s">
        <v>66</v>
      </c>
      <c r="E271" t="s">
        <v>60</v>
      </c>
      <c r="F271" t="s">
        <v>208</v>
      </c>
      <c r="G271">
        <v>940</v>
      </c>
      <c r="H271" t="s">
        <v>38</v>
      </c>
      <c r="I271" t="s">
        <v>30</v>
      </c>
      <c r="J271" t="s">
        <v>63</v>
      </c>
      <c r="K271" s="4">
        <v>496.21</v>
      </c>
      <c r="L271" t="s">
        <v>772</v>
      </c>
      <c r="M271" s="1">
        <v>46043</v>
      </c>
      <c r="N271" t="s">
        <v>24</v>
      </c>
      <c r="O271" t="s">
        <v>33</v>
      </c>
    </row>
    <row r="272" spans="1:15" x14ac:dyDescent="0.25">
      <c r="A272" t="s">
        <v>773</v>
      </c>
      <c r="B272" t="s">
        <v>53</v>
      </c>
      <c r="C272">
        <v>2018</v>
      </c>
      <c r="D272" t="s">
        <v>27</v>
      </c>
      <c r="E272" t="s">
        <v>54</v>
      </c>
      <c r="F272" t="s">
        <v>162</v>
      </c>
      <c r="G272">
        <v>690</v>
      </c>
      <c r="H272" t="s">
        <v>20</v>
      </c>
      <c r="I272" t="s">
        <v>39</v>
      </c>
      <c r="J272" t="s">
        <v>31</v>
      </c>
      <c r="K272" s="4">
        <v>226.9</v>
      </c>
      <c r="L272" t="s">
        <v>774</v>
      </c>
      <c r="M272" s="1">
        <v>45949</v>
      </c>
      <c r="N272" t="s">
        <v>24</v>
      </c>
      <c r="O272" t="s">
        <v>33</v>
      </c>
    </row>
    <row r="273" spans="1:15" x14ac:dyDescent="0.25">
      <c r="A273" t="s">
        <v>775</v>
      </c>
      <c r="B273" t="s">
        <v>77</v>
      </c>
      <c r="C273">
        <v>2011</v>
      </c>
      <c r="D273" t="s">
        <v>83</v>
      </c>
      <c r="E273" t="s">
        <v>78</v>
      </c>
      <c r="F273" t="s">
        <v>776</v>
      </c>
      <c r="G273">
        <v>600</v>
      </c>
      <c r="H273" t="s">
        <v>47</v>
      </c>
      <c r="I273" t="s">
        <v>21</v>
      </c>
      <c r="J273" t="s">
        <v>125</v>
      </c>
      <c r="K273" s="4">
        <v>341.13</v>
      </c>
      <c r="L273" t="s">
        <v>777</v>
      </c>
      <c r="M273" s="1">
        <v>46907</v>
      </c>
      <c r="N273" t="s">
        <v>24</v>
      </c>
      <c r="O273" t="s">
        <v>33</v>
      </c>
    </row>
    <row r="274" spans="1:15" x14ac:dyDescent="0.25">
      <c r="A274" t="s">
        <v>778</v>
      </c>
      <c r="B274" t="s">
        <v>77</v>
      </c>
      <c r="C274">
        <v>2009</v>
      </c>
      <c r="D274" t="s">
        <v>95</v>
      </c>
      <c r="E274" t="s">
        <v>54</v>
      </c>
      <c r="F274" t="s">
        <v>208</v>
      </c>
      <c r="G274">
        <v>230</v>
      </c>
      <c r="H274" t="s">
        <v>20</v>
      </c>
      <c r="I274" t="s">
        <v>86</v>
      </c>
      <c r="J274" t="s">
        <v>92</v>
      </c>
      <c r="K274" s="4">
        <v>481.74</v>
      </c>
      <c r="L274" t="s">
        <v>779</v>
      </c>
      <c r="M274" s="1">
        <v>46451</v>
      </c>
      <c r="N274" t="s">
        <v>24</v>
      </c>
      <c r="O274" t="s">
        <v>25</v>
      </c>
    </row>
    <row r="275" spans="1:15" x14ac:dyDescent="0.25">
      <c r="A275" t="s">
        <v>780</v>
      </c>
      <c r="B275" t="s">
        <v>53</v>
      </c>
      <c r="C275">
        <v>2021</v>
      </c>
      <c r="D275" t="s">
        <v>66</v>
      </c>
      <c r="E275" t="s">
        <v>72</v>
      </c>
      <c r="F275" t="s">
        <v>372</v>
      </c>
      <c r="G275">
        <v>920</v>
      </c>
      <c r="H275" t="s">
        <v>47</v>
      </c>
      <c r="I275" t="s">
        <v>48</v>
      </c>
      <c r="J275" t="s">
        <v>121</v>
      </c>
      <c r="K275" s="4">
        <v>425.12</v>
      </c>
      <c r="L275" t="s">
        <v>781</v>
      </c>
      <c r="M275" s="1">
        <v>45896</v>
      </c>
      <c r="N275" t="s">
        <v>24</v>
      </c>
      <c r="O275" t="s">
        <v>33</v>
      </c>
    </row>
    <row r="276" spans="1:15" x14ac:dyDescent="0.25">
      <c r="A276" t="s">
        <v>782</v>
      </c>
      <c r="B276" t="s">
        <v>53</v>
      </c>
      <c r="C276">
        <v>1995</v>
      </c>
      <c r="D276" t="s">
        <v>17</v>
      </c>
      <c r="E276" t="s">
        <v>45</v>
      </c>
      <c r="F276" t="s">
        <v>783</v>
      </c>
      <c r="G276">
        <v>540</v>
      </c>
      <c r="H276" t="s">
        <v>29</v>
      </c>
      <c r="I276" t="s">
        <v>39</v>
      </c>
      <c r="J276" t="s">
        <v>110</v>
      </c>
      <c r="K276" s="4">
        <v>91.52</v>
      </c>
      <c r="L276" t="s">
        <v>784</v>
      </c>
      <c r="M276" s="1">
        <v>46482</v>
      </c>
      <c r="N276" t="s">
        <v>41</v>
      </c>
      <c r="O276" t="s">
        <v>25</v>
      </c>
    </row>
    <row r="277" spans="1:15" x14ac:dyDescent="0.25">
      <c r="A277" t="s">
        <v>785</v>
      </c>
      <c r="B277" t="s">
        <v>59</v>
      </c>
      <c r="C277">
        <v>2015</v>
      </c>
      <c r="D277" t="s">
        <v>17</v>
      </c>
      <c r="E277" t="s">
        <v>116</v>
      </c>
      <c r="F277" t="s">
        <v>124</v>
      </c>
      <c r="G277">
        <v>920</v>
      </c>
      <c r="H277" t="s">
        <v>38</v>
      </c>
      <c r="I277" t="s">
        <v>151</v>
      </c>
      <c r="J277" t="s">
        <v>110</v>
      </c>
      <c r="K277" s="4">
        <v>22.56</v>
      </c>
      <c r="L277" t="s">
        <v>786</v>
      </c>
      <c r="M277" s="1">
        <v>46293</v>
      </c>
      <c r="N277" t="s">
        <v>75</v>
      </c>
      <c r="O277" t="s">
        <v>51</v>
      </c>
    </row>
    <row r="278" spans="1:15" x14ac:dyDescent="0.25">
      <c r="A278" t="s">
        <v>787</v>
      </c>
      <c r="B278" t="s">
        <v>98</v>
      </c>
      <c r="C278">
        <v>2005</v>
      </c>
      <c r="D278" t="s">
        <v>95</v>
      </c>
      <c r="E278" t="s">
        <v>116</v>
      </c>
      <c r="F278" t="s">
        <v>788</v>
      </c>
      <c r="G278">
        <v>80</v>
      </c>
      <c r="H278" t="s">
        <v>20</v>
      </c>
      <c r="I278" t="s">
        <v>21</v>
      </c>
      <c r="J278" t="s">
        <v>31</v>
      </c>
      <c r="K278" s="4">
        <v>42.51</v>
      </c>
      <c r="L278" t="s">
        <v>789</v>
      </c>
      <c r="M278" s="1">
        <v>46776</v>
      </c>
      <c r="N278" t="s">
        <v>75</v>
      </c>
      <c r="O278" t="s">
        <v>25</v>
      </c>
    </row>
    <row r="279" spans="1:15" x14ac:dyDescent="0.25">
      <c r="A279" t="s">
        <v>790</v>
      </c>
      <c r="B279" t="s">
        <v>53</v>
      </c>
      <c r="C279">
        <v>2005</v>
      </c>
      <c r="D279" t="s">
        <v>89</v>
      </c>
      <c r="E279" t="s">
        <v>116</v>
      </c>
      <c r="F279" t="s">
        <v>791</v>
      </c>
      <c r="G279">
        <v>450</v>
      </c>
      <c r="H279" t="s">
        <v>85</v>
      </c>
      <c r="I279" t="s">
        <v>186</v>
      </c>
      <c r="J279" t="s">
        <v>110</v>
      </c>
      <c r="K279" s="4">
        <v>370.75</v>
      </c>
      <c r="L279" t="s">
        <v>792</v>
      </c>
      <c r="M279" s="1">
        <v>46795</v>
      </c>
      <c r="N279" t="s">
        <v>75</v>
      </c>
      <c r="O279" t="s">
        <v>25</v>
      </c>
    </row>
    <row r="280" spans="1:15" x14ac:dyDescent="0.25">
      <c r="A280" t="s">
        <v>793</v>
      </c>
      <c r="B280" t="s">
        <v>35</v>
      </c>
      <c r="C280">
        <v>2022</v>
      </c>
      <c r="D280" t="s">
        <v>27</v>
      </c>
      <c r="E280" t="s">
        <v>45</v>
      </c>
      <c r="F280" t="s">
        <v>794</v>
      </c>
      <c r="G280">
        <v>720</v>
      </c>
      <c r="H280" t="s">
        <v>29</v>
      </c>
      <c r="I280" t="s">
        <v>151</v>
      </c>
      <c r="J280" t="s">
        <v>92</v>
      </c>
      <c r="K280" s="4">
        <v>439.64</v>
      </c>
      <c r="L280" t="s">
        <v>795</v>
      </c>
      <c r="M280" s="1">
        <v>46296</v>
      </c>
      <c r="N280" t="s">
        <v>41</v>
      </c>
      <c r="O280" t="s">
        <v>51</v>
      </c>
    </row>
    <row r="281" spans="1:15" x14ac:dyDescent="0.25">
      <c r="A281" t="s">
        <v>796</v>
      </c>
      <c r="B281" t="s">
        <v>138</v>
      </c>
      <c r="C281">
        <v>2006</v>
      </c>
      <c r="D281" t="s">
        <v>66</v>
      </c>
      <c r="E281" t="s">
        <v>60</v>
      </c>
      <c r="F281" t="s">
        <v>797</v>
      </c>
      <c r="G281">
        <v>910</v>
      </c>
      <c r="H281" t="s">
        <v>85</v>
      </c>
      <c r="I281" t="s">
        <v>80</v>
      </c>
      <c r="J281" t="s">
        <v>22</v>
      </c>
      <c r="K281" s="4">
        <v>474.59</v>
      </c>
      <c r="L281" t="s">
        <v>798</v>
      </c>
      <c r="M281" s="1">
        <v>46422</v>
      </c>
      <c r="N281" t="s">
        <v>75</v>
      </c>
      <c r="O281" t="s">
        <v>33</v>
      </c>
    </row>
    <row r="282" spans="1:15" x14ac:dyDescent="0.25">
      <c r="A282" t="s">
        <v>799</v>
      </c>
      <c r="B282" t="s">
        <v>98</v>
      </c>
      <c r="C282">
        <v>1997</v>
      </c>
      <c r="D282" t="s">
        <v>95</v>
      </c>
      <c r="E282" t="s">
        <v>119</v>
      </c>
      <c r="F282" t="s">
        <v>19</v>
      </c>
      <c r="G282">
        <v>810</v>
      </c>
      <c r="H282" t="s">
        <v>38</v>
      </c>
      <c r="I282" t="s">
        <v>48</v>
      </c>
      <c r="J282" t="s">
        <v>92</v>
      </c>
      <c r="K282" s="4">
        <v>309.5</v>
      </c>
      <c r="L282" t="s">
        <v>800</v>
      </c>
      <c r="M282" s="1">
        <v>46914</v>
      </c>
      <c r="N282" t="s">
        <v>75</v>
      </c>
      <c r="O282" t="s">
        <v>51</v>
      </c>
    </row>
    <row r="283" spans="1:15" x14ac:dyDescent="0.25">
      <c r="A283" t="s">
        <v>801</v>
      </c>
      <c r="B283" t="s">
        <v>77</v>
      </c>
      <c r="C283">
        <v>2016</v>
      </c>
      <c r="D283" t="s">
        <v>66</v>
      </c>
      <c r="E283" t="s">
        <v>78</v>
      </c>
      <c r="F283" t="s">
        <v>802</v>
      </c>
      <c r="G283">
        <v>930</v>
      </c>
      <c r="H283" t="s">
        <v>56</v>
      </c>
      <c r="I283" t="s">
        <v>186</v>
      </c>
      <c r="J283" t="s">
        <v>146</v>
      </c>
      <c r="K283" s="4">
        <v>60.37</v>
      </c>
      <c r="L283" t="s">
        <v>803</v>
      </c>
      <c r="M283" s="1">
        <v>46211</v>
      </c>
      <c r="N283" t="s">
        <v>41</v>
      </c>
      <c r="O283" t="s">
        <v>51</v>
      </c>
    </row>
    <row r="284" spans="1:15" x14ac:dyDescent="0.25">
      <c r="A284" t="s">
        <v>804</v>
      </c>
      <c r="B284" t="s">
        <v>77</v>
      </c>
      <c r="C284">
        <v>2014</v>
      </c>
      <c r="D284" t="s">
        <v>89</v>
      </c>
      <c r="E284" t="s">
        <v>99</v>
      </c>
      <c r="F284" t="s">
        <v>805</v>
      </c>
      <c r="G284">
        <v>660</v>
      </c>
      <c r="H284" t="s">
        <v>20</v>
      </c>
      <c r="I284" t="s">
        <v>39</v>
      </c>
      <c r="J284" t="s">
        <v>92</v>
      </c>
      <c r="K284" s="4">
        <v>36.36</v>
      </c>
      <c r="L284" t="s">
        <v>806</v>
      </c>
      <c r="M284" s="1">
        <v>46440</v>
      </c>
      <c r="N284" t="s">
        <v>24</v>
      </c>
      <c r="O284" t="s">
        <v>51</v>
      </c>
    </row>
    <row r="285" spans="1:15" x14ac:dyDescent="0.25">
      <c r="A285" t="s">
        <v>807</v>
      </c>
      <c r="B285" t="s">
        <v>43</v>
      </c>
      <c r="C285">
        <v>2020</v>
      </c>
      <c r="D285" t="s">
        <v>17</v>
      </c>
      <c r="E285" t="s">
        <v>116</v>
      </c>
      <c r="F285" t="s">
        <v>808</v>
      </c>
      <c r="G285">
        <v>970</v>
      </c>
      <c r="H285" t="s">
        <v>47</v>
      </c>
      <c r="I285" t="s">
        <v>186</v>
      </c>
      <c r="J285" t="s">
        <v>125</v>
      </c>
      <c r="K285" s="4">
        <v>244.83</v>
      </c>
      <c r="L285" t="s">
        <v>809</v>
      </c>
      <c r="M285" s="1">
        <v>46300</v>
      </c>
      <c r="N285" t="s">
        <v>24</v>
      </c>
      <c r="O285" t="s">
        <v>51</v>
      </c>
    </row>
    <row r="286" spans="1:15" x14ac:dyDescent="0.25">
      <c r="A286" t="s">
        <v>810</v>
      </c>
      <c r="B286" t="s">
        <v>43</v>
      </c>
      <c r="C286">
        <v>2015</v>
      </c>
      <c r="D286" t="s">
        <v>95</v>
      </c>
      <c r="E286" t="s">
        <v>78</v>
      </c>
      <c r="F286" t="s">
        <v>372</v>
      </c>
      <c r="G286">
        <v>610</v>
      </c>
      <c r="H286" t="s">
        <v>56</v>
      </c>
      <c r="I286" t="s">
        <v>86</v>
      </c>
      <c r="J286" t="s">
        <v>31</v>
      </c>
      <c r="K286" s="4">
        <v>238.94</v>
      </c>
      <c r="L286" t="s">
        <v>811</v>
      </c>
      <c r="M286" s="1">
        <v>46707</v>
      </c>
      <c r="N286" t="s">
        <v>24</v>
      </c>
      <c r="O286" t="s">
        <v>25</v>
      </c>
    </row>
    <row r="287" spans="1:15" x14ac:dyDescent="0.25">
      <c r="A287" t="s">
        <v>812</v>
      </c>
      <c r="B287" t="s">
        <v>70</v>
      </c>
      <c r="C287">
        <v>1991</v>
      </c>
      <c r="D287" t="s">
        <v>108</v>
      </c>
      <c r="E287" t="s">
        <v>99</v>
      </c>
      <c r="F287" t="s">
        <v>208</v>
      </c>
      <c r="G287">
        <v>880</v>
      </c>
      <c r="H287" t="s">
        <v>56</v>
      </c>
      <c r="I287" t="s">
        <v>30</v>
      </c>
      <c r="J287" t="s">
        <v>49</v>
      </c>
      <c r="K287" s="4">
        <v>100.28</v>
      </c>
      <c r="L287" t="s">
        <v>813</v>
      </c>
      <c r="M287" s="1">
        <v>46227</v>
      </c>
      <c r="N287" t="s">
        <v>41</v>
      </c>
      <c r="O287" t="s">
        <v>51</v>
      </c>
    </row>
    <row r="288" spans="1:15" x14ac:dyDescent="0.25">
      <c r="A288" t="s">
        <v>814</v>
      </c>
      <c r="B288" t="s">
        <v>53</v>
      </c>
      <c r="C288">
        <v>1991</v>
      </c>
      <c r="D288" t="s">
        <v>89</v>
      </c>
      <c r="E288" t="s">
        <v>18</v>
      </c>
      <c r="F288" t="s">
        <v>815</v>
      </c>
      <c r="G288">
        <v>70</v>
      </c>
      <c r="H288" t="s">
        <v>29</v>
      </c>
      <c r="I288" t="s">
        <v>30</v>
      </c>
      <c r="J288" t="s">
        <v>63</v>
      </c>
      <c r="K288" s="4">
        <v>377.4</v>
      </c>
      <c r="L288" t="s">
        <v>816</v>
      </c>
      <c r="M288" s="1">
        <v>46273</v>
      </c>
      <c r="N288" t="s">
        <v>75</v>
      </c>
      <c r="O288" t="s">
        <v>25</v>
      </c>
    </row>
    <row r="289" spans="1:15" x14ac:dyDescent="0.25">
      <c r="A289" t="s">
        <v>817</v>
      </c>
      <c r="B289" t="s">
        <v>77</v>
      </c>
      <c r="C289">
        <v>1994</v>
      </c>
      <c r="D289" t="s">
        <v>95</v>
      </c>
      <c r="E289" t="s">
        <v>54</v>
      </c>
      <c r="F289" t="s">
        <v>162</v>
      </c>
      <c r="G289">
        <v>420</v>
      </c>
      <c r="H289" t="s">
        <v>38</v>
      </c>
      <c r="I289" t="s">
        <v>80</v>
      </c>
      <c r="J289" t="s">
        <v>63</v>
      </c>
      <c r="K289" s="4">
        <v>91.36</v>
      </c>
      <c r="L289" t="s">
        <v>818</v>
      </c>
      <c r="M289" s="1">
        <v>46451</v>
      </c>
      <c r="N289" t="s">
        <v>41</v>
      </c>
      <c r="O289" t="s">
        <v>51</v>
      </c>
    </row>
    <row r="290" spans="1:15" x14ac:dyDescent="0.25">
      <c r="A290" t="s">
        <v>819</v>
      </c>
      <c r="B290" t="s">
        <v>43</v>
      </c>
      <c r="C290">
        <v>2004</v>
      </c>
      <c r="D290" t="s">
        <v>66</v>
      </c>
      <c r="E290" t="s">
        <v>99</v>
      </c>
      <c r="F290" t="s">
        <v>820</v>
      </c>
      <c r="G290">
        <v>460</v>
      </c>
      <c r="H290" t="s">
        <v>62</v>
      </c>
      <c r="I290" t="s">
        <v>91</v>
      </c>
      <c r="J290" t="s">
        <v>125</v>
      </c>
      <c r="K290" s="4">
        <v>417.78</v>
      </c>
      <c r="L290" t="s">
        <v>821</v>
      </c>
      <c r="M290" s="1">
        <v>45883</v>
      </c>
      <c r="N290" t="s">
        <v>75</v>
      </c>
      <c r="O290" t="s">
        <v>25</v>
      </c>
    </row>
    <row r="291" spans="1:15" x14ac:dyDescent="0.25">
      <c r="A291" t="s">
        <v>822</v>
      </c>
      <c r="B291" t="s">
        <v>77</v>
      </c>
      <c r="C291">
        <v>1997</v>
      </c>
      <c r="D291" t="s">
        <v>89</v>
      </c>
      <c r="E291" t="s">
        <v>45</v>
      </c>
      <c r="F291" t="s">
        <v>722</v>
      </c>
      <c r="G291">
        <v>170</v>
      </c>
      <c r="H291" t="s">
        <v>56</v>
      </c>
      <c r="I291" t="s">
        <v>86</v>
      </c>
      <c r="J291" t="s">
        <v>121</v>
      </c>
      <c r="K291" s="4">
        <v>427.7</v>
      </c>
      <c r="L291" t="s">
        <v>823</v>
      </c>
      <c r="M291" s="1">
        <v>45958</v>
      </c>
      <c r="N291" t="s">
        <v>41</v>
      </c>
      <c r="O291" t="s">
        <v>25</v>
      </c>
    </row>
    <row r="292" spans="1:15" x14ac:dyDescent="0.25">
      <c r="A292" t="s">
        <v>824</v>
      </c>
      <c r="B292" t="s">
        <v>53</v>
      </c>
      <c r="C292">
        <v>1994</v>
      </c>
      <c r="D292" t="s">
        <v>27</v>
      </c>
      <c r="E292" t="s">
        <v>60</v>
      </c>
      <c r="F292" t="s">
        <v>825</v>
      </c>
      <c r="G292">
        <v>160</v>
      </c>
      <c r="H292" t="s">
        <v>56</v>
      </c>
      <c r="I292" t="s">
        <v>39</v>
      </c>
      <c r="J292" t="s">
        <v>121</v>
      </c>
      <c r="K292" s="4">
        <v>185.73</v>
      </c>
      <c r="L292" t="s">
        <v>826</v>
      </c>
      <c r="M292" s="1">
        <v>45997</v>
      </c>
      <c r="N292" t="s">
        <v>41</v>
      </c>
      <c r="O292" t="s">
        <v>51</v>
      </c>
    </row>
    <row r="293" spans="1:15" x14ac:dyDescent="0.25">
      <c r="A293" t="s">
        <v>827</v>
      </c>
      <c r="B293" t="s">
        <v>16</v>
      </c>
      <c r="C293">
        <v>1991</v>
      </c>
      <c r="D293" t="s">
        <v>95</v>
      </c>
      <c r="E293" t="s">
        <v>99</v>
      </c>
      <c r="F293" t="s">
        <v>135</v>
      </c>
      <c r="G293">
        <v>280</v>
      </c>
      <c r="H293" t="s">
        <v>47</v>
      </c>
      <c r="I293" t="s">
        <v>86</v>
      </c>
      <c r="J293" t="s">
        <v>49</v>
      </c>
      <c r="K293" s="4">
        <v>337.19</v>
      </c>
      <c r="L293" t="s">
        <v>828</v>
      </c>
      <c r="M293" s="1">
        <v>46807</v>
      </c>
      <c r="N293" t="s">
        <v>24</v>
      </c>
      <c r="O293" t="s">
        <v>51</v>
      </c>
    </row>
    <row r="294" spans="1:15" x14ac:dyDescent="0.25">
      <c r="A294" t="s">
        <v>829</v>
      </c>
      <c r="B294" t="s">
        <v>35</v>
      </c>
      <c r="C294">
        <v>1995</v>
      </c>
      <c r="D294" t="s">
        <v>36</v>
      </c>
      <c r="E294" t="s">
        <v>72</v>
      </c>
      <c r="F294" t="s">
        <v>830</v>
      </c>
      <c r="G294">
        <v>980</v>
      </c>
      <c r="H294" t="s">
        <v>85</v>
      </c>
      <c r="I294" t="s">
        <v>86</v>
      </c>
      <c r="J294" t="s">
        <v>63</v>
      </c>
      <c r="K294" s="4">
        <v>414.42</v>
      </c>
      <c r="L294" t="s">
        <v>831</v>
      </c>
      <c r="M294" s="1">
        <v>46467</v>
      </c>
      <c r="N294" t="s">
        <v>24</v>
      </c>
      <c r="O294" t="s">
        <v>25</v>
      </c>
    </row>
    <row r="295" spans="1:15" x14ac:dyDescent="0.25">
      <c r="A295" t="s">
        <v>832</v>
      </c>
      <c r="B295" t="s">
        <v>77</v>
      </c>
      <c r="C295">
        <v>2021</v>
      </c>
      <c r="D295" t="s">
        <v>17</v>
      </c>
      <c r="E295" t="s">
        <v>104</v>
      </c>
      <c r="F295" t="s">
        <v>808</v>
      </c>
      <c r="G295">
        <v>630</v>
      </c>
      <c r="H295" t="s">
        <v>47</v>
      </c>
      <c r="I295" t="s">
        <v>80</v>
      </c>
      <c r="J295" t="s">
        <v>110</v>
      </c>
      <c r="K295" s="4">
        <v>304</v>
      </c>
      <c r="L295" t="s">
        <v>833</v>
      </c>
      <c r="M295" s="1">
        <v>45980</v>
      </c>
      <c r="N295" t="s">
        <v>41</v>
      </c>
      <c r="O295" t="s">
        <v>25</v>
      </c>
    </row>
    <row r="296" spans="1:15" x14ac:dyDescent="0.25">
      <c r="A296" t="s">
        <v>834</v>
      </c>
      <c r="B296" t="s">
        <v>53</v>
      </c>
      <c r="C296">
        <v>1991</v>
      </c>
      <c r="D296" t="s">
        <v>71</v>
      </c>
      <c r="E296" t="s">
        <v>78</v>
      </c>
      <c r="F296" t="s">
        <v>46</v>
      </c>
      <c r="G296">
        <v>730</v>
      </c>
      <c r="H296" t="s">
        <v>29</v>
      </c>
      <c r="I296" t="s">
        <v>80</v>
      </c>
      <c r="J296" t="s">
        <v>146</v>
      </c>
      <c r="K296" s="4">
        <v>179.48</v>
      </c>
      <c r="L296" t="s">
        <v>835</v>
      </c>
      <c r="M296" s="1">
        <v>46780</v>
      </c>
      <c r="N296" t="s">
        <v>41</v>
      </c>
      <c r="O296" t="s">
        <v>51</v>
      </c>
    </row>
    <row r="297" spans="1:15" x14ac:dyDescent="0.25">
      <c r="A297" t="s">
        <v>836</v>
      </c>
      <c r="B297" t="s">
        <v>35</v>
      </c>
      <c r="C297">
        <v>1992</v>
      </c>
      <c r="D297" t="s">
        <v>108</v>
      </c>
      <c r="E297" t="s">
        <v>104</v>
      </c>
      <c r="F297" t="s">
        <v>211</v>
      </c>
      <c r="G297">
        <v>550</v>
      </c>
      <c r="H297" t="s">
        <v>47</v>
      </c>
      <c r="I297" t="s">
        <v>91</v>
      </c>
      <c r="J297" t="s">
        <v>49</v>
      </c>
      <c r="K297" s="4">
        <v>387.26</v>
      </c>
      <c r="L297" t="s">
        <v>837</v>
      </c>
      <c r="M297" s="1">
        <v>46061</v>
      </c>
      <c r="N297" t="s">
        <v>24</v>
      </c>
      <c r="O297" t="s">
        <v>51</v>
      </c>
    </row>
    <row r="298" spans="1:15" x14ac:dyDescent="0.25">
      <c r="A298" t="s">
        <v>838</v>
      </c>
      <c r="B298" t="s">
        <v>138</v>
      </c>
      <c r="C298">
        <v>1996</v>
      </c>
      <c r="D298" t="s">
        <v>71</v>
      </c>
      <c r="E298" t="s">
        <v>119</v>
      </c>
      <c r="F298" t="s">
        <v>815</v>
      </c>
      <c r="G298">
        <v>570</v>
      </c>
      <c r="H298" t="s">
        <v>47</v>
      </c>
      <c r="I298" t="s">
        <v>91</v>
      </c>
      <c r="J298" t="s">
        <v>22</v>
      </c>
      <c r="K298" s="4">
        <v>100.72</v>
      </c>
      <c r="L298" t="s">
        <v>839</v>
      </c>
      <c r="M298" s="1">
        <v>46863</v>
      </c>
      <c r="N298" t="s">
        <v>24</v>
      </c>
      <c r="O298" t="s">
        <v>25</v>
      </c>
    </row>
    <row r="299" spans="1:15" x14ac:dyDescent="0.25">
      <c r="A299" t="s">
        <v>840</v>
      </c>
      <c r="B299" t="s">
        <v>77</v>
      </c>
      <c r="C299">
        <v>1993</v>
      </c>
      <c r="D299" t="s">
        <v>89</v>
      </c>
      <c r="E299" t="s">
        <v>104</v>
      </c>
      <c r="F299" t="s">
        <v>841</v>
      </c>
      <c r="G299">
        <v>880</v>
      </c>
      <c r="H299" t="s">
        <v>47</v>
      </c>
      <c r="I299" t="s">
        <v>48</v>
      </c>
      <c r="J299" t="s">
        <v>146</v>
      </c>
      <c r="K299" s="4">
        <v>373.09</v>
      </c>
      <c r="L299" t="s">
        <v>842</v>
      </c>
      <c r="M299" s="1">
        <v>46389</v>
      </c>
      <c r="N299" t="s">
        <v>24</v>
      </c>
      <c r="O299" t="s">
        <v>33</v>
      </c>
    </row>
    <row r="300" spans="1:15" x14ac:dyDescent="0.25">
      <c r="A300" t="s">
        <v>843</v>
      </c>
      <c r="B300" t="s">
        <v>70</v>
      </c>
      <c r="C300">
        <v>1995</v>
      </c>
      <c r="D300" t="s">
        <v>17</v>
      </c>
      <c r="E300" t="s">
        <v>104</v>
      </c>
      <c r="F300" t="s">
        <v>139</v>
      </c>
      <c r="G300">
        <v>500</v>
      </c>
      <c r="H300" t="s">
        <v>29</v>
      </c>
      <c r="I300" t="s">
        <v>73</v>
      </c>
      <c r="J300" t="s">
        <v>31</v>
      </c>
      <c r="K300" s="4">
        <v>279.86</v>
      </c>
      <c r="L300" t="s">
        <v>844</v>
      </c>
      <c r="M300" s="1">
        <v>46890</v>
      </c>
      <c r="N300" t="s">
        <v>41</v>
      </c>
      <c r="O300" t="s">
        <v>51</v>
      </c>
    </row>
    <row r="301" spans="1:15" x14ac:dyDescent="0.25">
      <c r="A301" t="s">
        <v>845</v>
      </c>
      <c r="B301" t="s">
        <v>43</v>
      </c>
      <c r="C301">
        <v>2023</v>
      </c>
      <c r="D301" t="s">
        <v>44</v>
      </c>
      <c r="E301" t="s">
        <v>99</v>
      </c>
      <c r="F301" t="s">
        <v>846</v>
      </c>
      <c r="G301">
        <v>760</v>
      </c>
      <c r="H301" t="s">
        <v>38</v>
      </c>
      <c r="I301" t="s">
        <v>86</v>
      </c>
      <c r="J301" t="s">
        <v>63</v>
      </c>
      <c r="K301" s="4">
        <v>302.56</v>
      </c>
      <c r="L301" t="s">
        <v>847</v>
      </c>
      <c r="M301" s="1">
        <v>46646</v>
      </c>
      <c r="N301" t="s">
        <v>75</v>
      </c>
      <c r="O301" t="s">
        <v>25</v>
      </c>
    </row>
    <row r="302" spans="1:15" x14ac:dyDescent="0.25">
      <c r="A302" t="s">
        <v>848</v>
      </c>
      <c r="B302" t="s">
        <v>35</v>
      </c>
      <c r="C302">
        <v>2024</v>
      </c>
      <c r="D302" t="s">
        <v>89</v>
      </c>
      <c r="E302" t="s">
        <v>60</v>
      </c>
      <c r="F302" t="s">
        <v>378</v>
      </c>
      <c r="G302">
        <v>880</v>
      </c>
      <c r="H302" t="s">
        <v>56</v>
      </c>
      <c r="I302" t="s">
        <v>30</v>
      </c>
      <c r="J302" t="s">
        <v>125</v>
      </c>
      <c r="K302" s="4">
        <v>390.38</v>
      </c>
      <c r="L302" t="s">
        <v>849</v>
      </c>
      <c r="M302" s="1">
        <v>46556</v>
      </c>
      <c r="N302" t="s">
        <v>75</v>
      </c>
      <c r="O302" t="s">
        <v>33</v>
      </c>
    </row>
    <row r="303" spans="1:15" x14ac:dyDescent="0.25">
      <c r="A303" t="s">
        <v>850</v>
      </c>
      <c r="B303" t="s">
        <v>43</v>
      </c>
      <c r="C303">
        <v>2014</v>
      </c>
      <c r="D303" t="s">
        <v>27</v>
      </c>
      <c r="E303" t="s">
        <v>104</v>
      </c>
      <c r="F303" t="s">
        <v>851</v>
      </c>
      <c r="G303">
        <v>930</v>
      </c>
      <c r="H303" t="s">
        <v>38</v>
      </c>
      <c r="I303" t="s">
        <v>21</v>
      </c>
      <c r="J303" t="s">
        <v>92</v>
      </c>
      <c r="K303" s="4">
        <v>323.04000000000002</v>
      </c>
      <c r="L303" t="s">
        <v>852</v>
      </c>
      <c r="M303" s="1">
        <v>46364</v>
      </c>
      <c r="N303" t="s">
        <v>75</v>
      </c>
      <c r="O303" t="s">
        <v>25</v>
      </c>
    </row>
    <row r="304" spans="1:15" x14ac:dyDescent="0.25">
      <c r="A304" t="s">
        <v>853</v>
      </c>
      <c r="B304" t="s">
        <v>134</v>
      </c>
      <c r="C304">
        <v>2013</v>
      </c>
      <c r="D304" t="s">
        <v>44</v>
      </c>
      <c r="E304" t="s">
        <v>104</v>
      </c>
      <c r="F304" t="s">
        <v>854</v>
      </c>
      <c r="G304">
        <v>270</v>
      </c>
      <c r="H304" t="s">
        <v>85</v>
      </c>
      <c r="I304" t="s">
        <v>21</v>
      </c>
      <c r="J304" t="s">
        <v>63</v>
      </c>
      <c r="K304" s="4">
        <v>423.6</v>
      </c>
      <c r="L304" t="s">
        <v>855</v>
      </c>
      <c r="M304" s="1">
        <v>46631</v>
      </c>
      <c r="N304" t="s">
        <v>24</v>
      </c>
      <c r="O304" t="s">
        <v>33</v>
      </c>
    </row>
    <row r="305" spans="1:15" x14ac:dyDescent="0.25">
      <c r="A305" t="s">
        <v>856</v>
      </c>
      <c r="B305" t="s">
        <v>35</v>
      </c>
      <c r="C305">
        <v>2022</v>
      </c>
      <c r="D305" t="s">
        <v>95</v>
      </c>
      <c r="E305" t="s">
        <v>18</v>
      </c>
      <c r="F305" t="s">
        <v>857</v>
      </c>
      <c r="G305">
        <v>370</v>
      </c>
      <c r="H305" t="s">
        <v>20</v>
      </c>
      <c r="I305" t="s">
        <v>151</v>
      </c>
      <c r="J305" t="s">
        <v>121</v>
      </c>
      <c r="K305" s="4">
        <v>189.04</v>
      </c>
      <c r="L305" t="s">
        <v>858</v>
      </c>
      <c r="M305" s="1">
        <v>46596</v>
      </c>
      <c r="N305" t="s">
        <v>75</v>
      </c>
      <c r="O305" t="s">
        <v>33</v>
      </c>
    </row>
    <row r="306" spans="1:15" x14ac:dyDescent="0.25">
      <c r="A306" t="s">
        <v>859</v>
      </c>
      <c r="B306" t="s">
        <v>43</v>
      </c>
      <c r="C306">
        <v>2001</v>
      </c>
      <c r="D306" t="s">
        <v>71</v>
      </c>
      <c r="E306" t="s">
        <v>99</v>
      </c>
      <c r="F306" t="s">
        <v>783</v>
      </c>
      <c r="G306">
        <v>480</v>
      </c>
      <c r="H306" t="s">
        <v>62</v>
      </c>
      <c r="I306" t="s">
        <v>151</v>
      </c>
      <c r="J306" t="s">
        <v>31</v>
      </c>
      <c r="K306" s="4">
        <v>117.15</v>
      </c>
      <c r="L306" t="s">
        <v>860</v>
      </c>
      <c r="M306" s="1">
        <v>46478</v>
      </c>
      <c r="N306" t="s">
        <v>24</v>
      </c>
      <c r="O306" t="s">
        <v>33</v>
      </c>
    </row>
    <row r="307" spans="1:15" x14ac:dyDescent="0.25">
      <c r="A307" t="s">
        <v>861</v>
      </c>
      <c r="B307" t="s">
        <v>53</v>
      </c>
      <c r="C307">
        <v>2006</v>
      </c>
      <c r="D307" t="s">
        <v>95</v>
      </c>
      <c r="E307" t="s">
        <v>116</v>
      </c>
      <c r="F307" t="s">
        <v>862</v>
      </c>
      <c r="G307">
        <v>510</v>
      </c>
      <c r="H307" t="s">
        <v>85</v>
      </c>
      <c r="I307" t="s">
        <v>91</v>
      </c>
      <c r="J307" t="s">
        <v>101</v>
      </c>
      <c r="K307" s="4">
        <v>304.44</v>
      </c>
      <c r="L307" t="s">
        <v>863</v>
      </c>
      <c r="M307" s="1">
        <v>46065</v>
      </c>
      <c r="N307" t="s">
        <v>75</v>
      </c>
      <c r="O307" t="s">
        <v>33</v>
      </c>
    </row>
    <row r="308" spans="1:15" x14ac:dyDescent="0.25">
      <c r="A308" t="s">
        <v>864</v>
      </c>
      <c r="B308" t="s">
        <v>98</v>
      </c>
      <c r="C308">
        <v>2002</v>
      </c>
      <c r="D308" t="s">
        <v>95</v>
      </c>
      <c r="E308" t="s">
        <v>116</v>
      </c>
      <c r="F308" t="s">
        <v>19</v>
      </c>
      <c r="G308">
        <v>850</v>
      </c>
      <c r="H308" t="s">
        <v>85</v>
      </c>
      <c r="I308" t="s">
        <v>151</v>
      </c>
      <c r="J308" t="s">
        <v>146</v>
      </c>
      <c r="K308" s="4">
        <v>1.37</v>
      </c>
      <c r="L308" t="s">
        <v>865</v>
      </c>
      <c r="M308" s="1">
        <v>46000</v>
      </c>
      <c r="N308" t="s">
        <v>24</v>
      </c>
      <c r="O308" t="s">
        <v>51</v>
      </c>
    </row>
    <row r="309" spans="1:15" x14ac:dyDescent="0.25">
      <c r="A309" t="s">
        <v>866</v>
      </c>
      <c r="B309" t="s">
        <v>59</v>
      </c>
      <c r="C309">
        <v>1995</v>
      </c>
      <c r="D309" t="s">
        <v>36</v>
      </c>
      <c r="E309" t="s">
        <v>78</v>
      </c>
      <c r="F309" t="s">
        <v>61</v>
      </c>
      <c r="G309">
        <v>310</v>
      </c>
      <c r="H309" t="s">
        <v>29</v>
      </c>
      <c r="I309" t="s">
        <v>39</v>
      </c>
      <c r="J309" t="s">
        <v>146</v>
      </c>
      <c r="K309" s="4">
        <v>465.71</v>
      </c>
      <c r="L309" t="s">
        <v>867</v>
      </c>
      <c r="M309" s="1">
        <v>46347</v>
      </c>
      <c r="N309" t="s">
        <v>24</v>
      </c>
      <c r="O309" t="s">
        <v>33</v>
      </c>
    </row>
    <row r="310" spans="1:15" x14ac:dyDescent="0.25">
      <c r="A310" t="s">
        <v>868</v>
      </c>
      <c r="B310" t="s">
        <v>35</v>
      </c>
      <c r="C310">
        <v>2004</v>
      </c>
      <c r="D310" t="s">
        <v>89</v>
      </c>
      <c r="E310" t="s">
        <v>45</v>
      </c>
      <c r="F310" t="s">
        <v>139</v>
      </c>
      <c r="G310">
        <v>910</v>
      </c>
      <c r="H310" t="s">
        <v>56</v>
      </c>
      <c r="I310" t="s">
        <v>73</v>
      </c>
      <c r="J310" t="s">
        <v>31</v>
      </c>
      <c r="K310" s="4">
        <v>74.25</v>
      </c>
      <c r="L310" t="s">
        <v>869</v>
      </c>
      <c r="M310" s="1">
        <v>46337</v>
      </c>
      <c r="N310" t="s">
        <v>24</v>
      </c>
      <c r="O310" t="s">
        <v>25</v>
      </c>
    </row>
    <row r="311" spans="1:15" x14ac:dyDescent="0.25">
      <c r="A311" t="s">
        <v>870</v>
      </c>
      <c r="B311" t="s">
        <v>59</v>
      </c>
      <c r="C311">
        <v>2021</v>
      </c>
      <c r="D311" t="s">
        <v>83</v>
      </c>
      <c r="E311" t="s">
        <v>104</v>
      </c>
      <c r="F311" t="s">
        <v>79</v>
      </c>
      <c r="G311">
        <v>440</v>
      </c>
      <c r="H311" t="s">
        <v>56</v>
      </c>
      <c r="I311" t="s">
        <v>80</v>
      </c>
      <c r="J311" t="s">
        <v>49</v>
      </c>
      <c r="K311" s="4">
        <v>311.11</v>
      </c>
      <c r="L311" t="s">
        <v>871</v>
      </c>
      <c r="M311" s="1">
        <v>46005</v>
      </c>
      <c r="N311" t="s">
        <v>24</v>
      </c>
      <c r="O311" t="s">
        <v>33</v>
      </c>
    </row>
    <row r="312" spans="1:15" x14ac:dyDescent="0.25">
      <c r="A312" t="s">
        <v>872</v>
      </c>
      <c r="B312" t="s">
        <v>53</v>
      </c>
      <c r="C312">
        <v>2008</v>
      </c>
      <c r="D312" t="s">
        <v>17</v>
      </c>
      <c r="E312" t="s">
        <v>116</v>
      </c>
      <c r="F312" t="s">
        <v>135</v>
      </c>
      <c r="G312">
        <v>110</v>
      </c>
      <c r="H312" t="s">
        <v>85</v>
      </c>
      <c r="I312" t="s">
        <v>86</v>
      </c>
      <c r="J312" t="s">
        <v>110</v>
      </c>
      <c r="K312" s="4">
        <v>100.67</v>
      </c>
      <c r="L312" t="s">
        <v>873</v>
      </c>
      <c r="M312" s="1">
        <v>46907</v>
      </c>
      <c r="N312" t="s">
        <v>41</v>
      </c>
      <c r="O312" t="s">
        <v>51</v>
      </c>
    </row>
    <row r="313" spans="1:15" x14ac:dyDescent="0.25">
      <c r="A313" t="s">
        <v>874</v>
      </c>
      <c r="B313" t="s">
        <v>35</v>
      </c>
      <c r="C313">
        <v>1996</v>
      </c>
      <c r="D313" t="s">
        <v>89</v>
      </c>
      <c r="E313" t="s">
        <v>116</v>
      </c>
      <c r="F313" t="s">
        <v>875</v>
      </c>
      <c r="G313">
        <v>490</v>
      </c>
      <c r="H313" t="s">
        <v>29</v>
      </c>
      <c r="I313" t="s">
        <v>151</v>
      </c>
      <c r="J313" t="s">
        <v>49</v>
      </c>
      <c r="K313" s="4">
        <v>284.10000000000002</v>
      </c>
      <c r="L313" t="s">
        <v>876</v>
      </c>
      <c r="M313" s="1">
        <v>45967</v>
      </c>
      <c r="N313" t="s">
        <v>24</v>
      </c>
      <c r="O313" t="s">
        <v>33</v>
      </c>
    </row>
    <row r="314" spans="1:15" x14ac:dyDescent="0.25">
      <c r="A314" t="s">
        <v>877</v>
      </c>
      <c r="B314" t="s">
        <v>138</v>
      </c>
      <c r="C314">
        <v>2017</v>
      </c>
      <c r="D314" t="s">
        <v>44</v>
      </c>
      <c r="E314" t="s">
        <v>78</v>
      </c>
      <c r="F314" t="s">
        <v>878</v>
      </c>
      <c r="G314">
        <v>280</v>
      </c>
      <c r="H314" t="s">
        <v>38</v>
      </c>
      <c r="I314" t="s">
        <v>186</v>
      </c>
      <c r="J314" t="s">
        <v>22</v>
      </c>
      <c r="K314" s="4">
        <v>470.98</v>
      </c>
      <c r="L314" t="s">
        <v>879</v>
      </c>
      <c r="M314" s="1">
        <v>46486</v>
      </c>
      <c r="N314" t="s">
        <v>41</v>
      </c>
      <c r="O314" t="s">
        <v>33</v>
      </c>
    </row>
    <row r="315" spans="1:15" x14ac:dyDescent="0.25">
      <c r="A315" t="s">
        <v>880</v>
      </c>
      <c r="B315" t="s">
        <v>16</v>
      </c>
      <c r="C315">
        <v>1992</v>
      </c>
      <c r="D315" t="s">
        <v>27</v>
      </c>
      <c r="E315" t="s">
        <v>104</v>
      </c>
      <c r="F315" t="s">
        <v>162</v>
      </c>
      <c r="G315">
        <v>740</v>
      </c>
      <c r="H315" t="s">
        <v>85</v>
      </c>
      <c r="I315" t="s">
        <v>80</v>
      </c>
      <c r="J315" t="s">
        <v>49</v>
      </c>
      <c r="K315" s="4">
        <v>202.36</v>
      </c>
      <c r="L315" t="s">
        <v>881</v>
      </c>
      <c r="M315" s="1">
        <v>46501</v>
      </c>
      <c r="N315" t="s">
        <v>24</v>
      </c>
      <c r="O315" t="s">
        <v>51</v>
      </c>
    </row>
    <row r="316" spans="1:15" x14ac:dyDescent="0.25">
      <c r="A316" t="s">
        <v>882</v>
      </c>
      <c r="B316" t="s">
        <v>138</v>
      </c>
      <c r="C316">
        <v>1992</v>
      </c>
      <c r="D316" t="s">
        <v>108</v>
      </c>
      <c r="E316" t="s">
        <v>116</v>
      </c>
      <c r="F316" t="s">
        <v>195</v>
      </c>
      <c r="G316">
        <v>760</v>
      </c>
      <c r="H316" t="s">
        <v>85</v>
      </c>
      <c r="I316" t="s">
        <v>30</v>
      </c>
      <c r="J316" t="s">
        <v>146</v>
      </c>
      <c r="K316" s="4">
        <v>98.99</v>
      </c>
      <c r="L316" t="s">
        <v>883</v>
      </c>
      <c r="M316" s="1">
        <v>46957</v>
      </c>
      <c r="N316" t="s">
        <v>75</v>
      </c>
      <c r="O316" t="s">
        <v>51</v>
      </c>
    </row>
    <row r="317" spans="1:15" x14ac:dyDescent="0.25">
      <c r="A317" t="s">
        <v>884</v>
      </c>
      <c r="B317" t="s">
        <v>35</v>
      </c>
      <c r="C317">
        <v>2001</v>
      </c>
      <c r="D317" t="s">
        <v>95</v>
      </c>
      <c r="E317" t="s">
        <v>54</v>
      </c>
      <c r="F317" t="s">
        <v>885</v>
      </c>
      <c r="G317">
        <v>760</v>
      </c>
      <c r="H317" t="s">
        <v>47</v>
      </c>
      <c r="I317" t="s">
        <v>86</v>
      </c>
      <c r="J317" t="s">
        <v>125</v>
      </c>
      <c r="K317" s="4">
        <v>179.44</v>
      </c>
      <c r="L317" t="s">
        <v>886</v>
      </c>
      <c r="M317" s="1">
        <v>46390</v>
      </c>
      <c r="N317" t="s">
        <v>41</v>
      </c>
      <c r="O317" t="s">
        <v>51</v>
      </c>
    </row>
    <row r="318" spans="1:15" x14ac:dyDescent="0.25">
      <c r="A318" t="s">
        <v>887</v>
      </c>
      <c r="B318" t="s">
        <v>16</v>
      </c>
      <c r="C318">
        <v>2018</v>
      </c>
      <c r="D318" t="s">
        <v>83</v>
      </c>
      <c r="E318" t="s">
        <v>45</v>
      </c>
      <c r="F318" t="s">
        <v>888</v>
      </c>
      <c r="G318">
        <v>560</v>
      </c>
      <c r="H318" t="s">
        <v>47</v>
      </c>
      <c r="I318" t="s">
        <v>186</v>
      </c>
      <c r="J318" t="s">
        <v>22</v>
      </c>
      <c r="K318" s="4">
        <v>168.74</v>
      </c>
      <c r="L318" t="s">
        <v>889</v>
      </c>
      <c r="M318" s="1">
        <v>46870</v>
      </c>
      <c r="N318" t="s">
        <v>24</v>
      </c>
      <c r="O318" t="s">
        <v>51</v>
      </c>
    </row>
    <row r="319" spans="1:15" x14ac:dyDescent="0.25">
      <c r="A319" t="s">
        <v>890</v>
      </c>
      <c r="B319" t="s">
        <v>16</v>
      </c>
      <c r="C319">
        <v>1994</v>
      </c>
      <c r="D319" t="s">
        <v>36</v>
      </c>
      <c r="E319" t="s">
        <v>116</v>
      </c>
      <c r="F319" t="s">
        <v>180</v>
      </c>
      <c r="G319">
        <v>410</v>
      </c>
      <c r="H319" t="s">
        <v>62</v>
      </c>
      <c r="I319" t="s">
        <v>80</v>
      </c>
      <c r="J319" t="s">
        <v>22</v>
      </c>
      <c r="K319" s="4">
        <v>451.78</v>
      </c>
      <c r="L319" t="s">
        <v>891</v>
      </c>
      <c r="M319" s="1">
        <v>46108</v>
      </c>
      <c r="N319" t="s">
        <v>75</v>
      </c>
      <c r="O319" t="s">
        <v>33</v>
      </c>
    </row>
    <row r="320" spans="1:15" x14ac:dyDescent="0.25">
      <c r="A320" t="s">
        <v>892</v>
      </c>
      <c r="B320" t="s">
        <v>53</v>
      </c>
      <c r="C320">
        <v>2021</v>
      </c>
      <c r="D320" t="s">
        <v>108</v>
      </c>
      <c r="E320" t="s">
        <v>72</v>
      </c>
      <c r="F320" t="s">
        <v>893</v>
      </c>
      <c r="G320">
        <v>630</v>
      </c>
      <c r="H320" t="s">
        <v>47</v>
      </c>
      <c r="I320" t="s">
        <v>30</v>
      </c>
      <c r="J320" t="s">
        <v>110</v>
      </c>
      <c r="K320" s="4">
        <v>206.03</v>
      </c>
      <c r="L320" t="s">
        <v>894</v>
      </c>
      <c r="M320" s="1">
        <v>46089</v>
      </c>
      <c r="N320" t="s">
        <v>24</v>
      </c>
      <c r="O320" t="s">
        <v>25</v>
      </c>
    </row>
    <row r="321" spans="1:15" x14ac:dyDescent="0.25">
      <c r="A321" t="s">
        <v>895</v>
      </c>
      <c r="B321" t="s">
        <v>77</v>
      </c>
      <c r="C321">
        <v>2014</v>
      </c>
      <c r="D321" t="s">
        <v>27</v>
      </c>
      <c r="E321" t="s">
        <v>54</v>
      </c>
      <c r="F321" t="s">
        <v>145</v>
      </c>
      <c r="G321">
        <v>810</v>
      </c>
      <c r="H321" t="s">
        <v>62</v>
      </c>
      <c r="I321" t="s">
        <v>186</v>
      </c>
      <c r="J321" t="s">
        <v>31</v>
      </c>
      <c r="K321" s="4">
        <v>264.68</v>
      </c>
      <c r="L321" t="s">
        <v>896</v>
      </c>
      <c r="M321" s="1">
        <v>46651</v>
      </c>
      <c r="N321" t="s">
        <v>41</v>
      </c>
      <c r="O321" t="s">
        <v>33</v>
      </c>
    </row>
    <row r="322" spans="1:15" x14ac:dyDescent="0.25">
      <c r="A322" t="s">
        <v>897</v>
      </c>
      <c r="B322" t="s">
        <v>59</v>
      </c>
      <c r="C322">
        <v>1998</v>
      </c>
      <c r="D322" t="s">
        <v>71</v>
      </c>
      <c r="E322" t="s">
        <v>116</v>
      </c>
      <c r="F322" t="s">
        <v>898</v>
      </c>
      <c r="G322">
        <v>850</v>
      </c>
      <c r="H322" t="s">
        <v>56</v>
      </c>
      <c r="I322" t="s">
        <v>86</v>
      </c>
      <c r="J322" t="s">
        <v>146</v>
      </c>
      <c r="K322" s="4">
        <v>98.74</v>
      </c>
      <c r="L322" t="s">
        <v>899</v>
      </c>
      <c r="M322" s="1">
        <v>45994</v>
      </c>
      <c r="N322" t="s">
        <v>75</v>
      </c>
      <c r="O322" t="s">
        <v>25</v>
      </c>
    </row>
    <row r="323" spans="1:15" x14ac:dyDescent="0.25">
      <c r="A323" t="s">
        <v>900</v>
      </c>
      <c r="B323" t="s">
        <v>98</v>
      </c>
      <c r="C323">
        <v>2015</v>
      </c>
      <c r="D323" t="s">
        <v>17</v>
      </c>
      <c r="E323" t="s">
        <v>116</v>
      </c>
      <c r="F323" t="s">
        <v>901</v>
      </c>
      <c r="G323">
        <v>980</v>
      </c>
      <c r="H323" t="s">
        <v>56</v>
      </c>
      <c r="I323" t="s">
        <v>151</v>
      </c>
      <c r="J323" t="s">
        <v>31</v>
      </c>
      <c r="K323" s="4">
        <v>391.68</v>
      </c>
      <c r="L323" t="s">
        <v>902</v>
      </c>
      <c r="M323" s="1">
        <v>46721</v>
      </c>
      <c r="N323" t="s">
        <v>75</v>
      </c>
      <c r="O323" t="s">
        <v>25</v>
      </c>
    </row>
    <row r="324" spans="1:15" x14ac:dyDescent="0.25">
      <c r="A324" t="s">
        <v>903</v>
      </c>
      <c r="B324" t="s">
        <v>59</v>
      </c>
      <c r="C324">
        <v>1994</v>
      </c>
      <c r="D324" t="s">
        <v>27</v>
      </c>
      <c r="E324" t="s">
        <v>104</v>
      </c>
      <c r="F324" t="s">
        <v>28</v>
      </c>
      <c r="G324">
        <v>260</v>
      </c>
      <c r="H324" t="s">
        <v>85</v>
      </c>
      <c r="I324" t="s">
        <v>73</v>
      </c>
      <c r="J324" t="s">
        <v>92</v>
      </c>
      <c r="K324" s="4">
        <v>448.01</v>
      </c>
      <c r="L324" t="s">
        <v>904</v>
      </c>
      <c r="M324" s="1">
        <v>46802</v>
      </c>
      <c r="N324" t="s">
        <v>75</v>
      </c>
      <c r="O324" t="s">
        <v>25</v>
      </c>
    </row>
    <row r="325" spans="1:15" x14ac:dyDescent="0.25">
      <c r="A325" t="s">
        <v>905</v>
      </c>
      <c r="B325" t="s">
        <v>59</v>
      </c>
      <c r="C325">
        <v>2020</v>
      </c>
      <c r="D325" t="s">
        <v>27</v>
      </c>
      <c r="E325" t="s">
        <v>116</v>
      </c>
      <c r="F325" t="s">
        <v>906</v>
      </c>
      <c r="G325">
        <v>900</v>
      </c>
      <c r="H325" t="s">
        <v>38</v>
      </c>
      <c r="I325" t="s">
        <v>73</v>
      </c>
      <c r="J325" t="s">
        <v>125</v>
      </c>
      <c r="K325" s="4">
        <v>78.7</v>
      </c>
      <c r="L325" t="s">
        <v>907</v>
      </c>
      <c r="M325" s="1">
        <v>46496</v>
      </c>
      <c r="N325" t="s">
        <v>41</v>
      </c>
      <c r="O325" t="s">
        <v>33</v>
      </c>
    </row>
    <row r="326" spans="1:15" x14ac:dyDescent="0.25">
      <c r="A326" t="s">
        <v>908</v>
      </c>
      <c r="B326" t="s">
        <v>43</v>
      </c>
      <c r="C326">
        <v>2023</v>
      </c>
      <c r="D326" t="s">
        <v>71</v>
      </c>
      <c r="E326" t="s">
        <v>72</v>
      </c>
      <c r="F326" t="s">
        <v>909</v>
      </c>
      <c r="G326">
        <v>90</v>
      </c>
      <c r="H326" t="s">
        <v>20</v>
      </c>
      <c r="I326" t="s">
        <v>39</v>
      </c>
      <c r="J326" t="s">
        <v>31</v>
      </c>
      <c r="K326" s="4">
        <v>453.1</v>
      </c>
      <c r="L326" t="s">
        <v>910</v>
      </c>
      <c r="M326" s="1">
        <v>46353</v>
      </c>
      <c r="N326" t="s">
        <v>75</v>
      </c>
      <c r="O326" t="s">
        <v>25</v>
      </c>
    </row>
    <row r="327" spans="1:15" x14ac:dyDescent="0.25">
      <c r="A327" t="s">
        <v>911</v>
      </c>
      <c r="B327" t="s">
        <v>70</v>
      </c>
      <c r="C327">
        <v>2020</v>
      </c>
      <c r="D327" t="s">
        <v>83</v>
      </c>
      <c r="E327" t="s">
        <v>119</v>
      </c>
      <c r="F327" t="s">
        <v>139</v>
      </c>
      <c r="G327">
        <v>380</v>
      </c>
      <c r="H327" t="s">
        <v>85</v>
      </c>
      <c r="I327" t="s">
        <v>186</v>
      </c>
      <c r="J327" t="s">
        <v>31</v>
      </c>
      <c r="K327" s="4">
        <v>373.61</v>
      </c>
      <c r="L327" t="s">
        <v>912</v>
      </c>
      <c r="M327" s="1">
        <v>46282</v>
      </c>
      <c r="N327" t="s">
        <v>75</v>
      </c>
      <c r="O327" t="s">
        <v>51</v>
      </c>
    </row>
    <row r="328" spans="1:15" x14ac:dyDescent="0.25">
      <c r="A328" t="s">
        <v>913</v>
      </c>
      <c r="B328" t="s">
        <v>134</v>
      </c>
      <c r="C328">
        <v>1990</v>
      </c>
      <c r="D328" t="s">
        <v>95</v>
      </c>
      <c r="E328" t="s">
        <v>18</v>
      </c>
      <c r="F328" t="s">
        <v>250</v>
      </c>
      <c r="G328">
        <v>840</v>
      </c>
      <c r="H328" t="s">
        <v>85</v>
      </c>
      <c r="I328" t="s">
        <v>86</v>
      </c>
      <c r="J328" t="s">
        <v>101</v>
      </c>
      <c r="K328" s="4">
        <v>330.11</v>
      </c>
      <c r="L328" t="s">
        <v>914</v>
      </c>
      <c r="M328" s="1">
        <v>46319</v>
      </c>
      <c r="N328" t="s">
        <v>41</v>
      </c>
      <c r="O328" t="s">
        <v>25</v>
      </c>
    </row>
    <row r="329" spans="1:15" x14ac:dyDescent="0.25">
      <c r="A329" t="s">
        <v>915</v>
      </c>
      <c r="B329" t="s">
        <v>70</v>
      </c>
      <c r="C329">
        <v>1997</v>
      </c>
      <c r="D329" t="s">
        <v>66</v>
      </c>
      <c r="E329" t="s">
        <v>78</v>
      </c>
      <c r="F329" t="s">
        <v>79</v>
      </c>
      <c r="G329">
        <v>660</v>
      </c>
      <c r="H329" t="s">
        <v>20</v>
      </c>
      <c r="I329" t="s">
        <v>73</v>
      </c>
      <c r="J329" t="s">
        <v>146</v>
      </c>
      <c r="K329" s="4">
        <v>283.98</v>
      </c>
      <c r="L329" t="s">
        <v>916</v>
      </c>
      <c r="M329" s="1">
        <v>46579</v>
      </c>
      <c r="N329" t="s">
        <v>41</v>
      </c>
      <c r="O329" t="s">
        <v>25</v>
      </c>
    </row>
    <row r="330" spans="1:15" x14ac:dyDescent="0.25">
      <c r="A330" t="s">
        <v>917</v>
      </c>
      <c r="B330" t="s">
        <v>98</v>
      </c>
      <c r="C330">
        <v>1999</v>
      </c>
      <c r="D330" t="s">
        <v>83</v>
      </c>
      <c r="E330" t="s">
        <v>72</v>
      </c>
      <c r="F330" t="s">
        <v>851</v>
      </c>
      <c r="G330">
        <v>540</v>
      </c>
      <c r="H330" t="s">
        <v>62</v>
      </c>
      <c r="I330" t="s">
        <v>86</v>
      </c>
      <c r="J330" t="s">
        <v>49</v>
      </c>
      <c r="K330" s="4">
        <v>40.49</v>
      </c>
      <c r="L330" t="s">
        <v>918</v>
      </c>
      <c r="M330" s="1">
        <v>45935</v>
      </c>
      <c r="N330" t="s">
        <v>24</v>
      </c>
      <c r="O330" t="s">
        <v>25</v>
      </c>
    </row>
    <row r="331" spans="1:15" x14ac:dyDescent="0.25">
      <c r="A331" t="s">
        <v>919</v>
      </c>
      <c r="B331" t="s">
        <v>53</v>
      </c>
      <c r="C331">
        <v>2020</v>
      </c>
      <c r="D331" t="s">
        <v>44</v>
      </c>
      <c r="E331" t="s">
        <v>54</v>
      </c>
      <c r="F331" t="s">
        <v>625</v>
      </c>
      <c r="G331">
        <v>270</v>
      </c>
      <c r="H331" t="s">
        <v>47</v>
      </c>
      <c r="I331" t="s">
        <v>39</v>
      </c>
      <c r="J331" t="s">
        <v>101</v>
      </c>
      <c r="K331" s="4">
        <v>216.12</v>
      </c>
      <c r="L331" t="s">
        <v>920</v>
      </c>
      <c r="M331" s="1">
        <v>46255</v>
      </c>
      <c r="N331" t="s">
        <v>75</v>
      </c>
      <c r="O331" t="s">
        <v>25</v>
      </c>
    </row>
    <row r="332" spans="1:15" x14ac:dyDescent="0.25">
      <c r="A332" t="s">
        <v>921</v>
      </c>
      <c r="B332" t="s">
        <v>134</v>
      </c>
      <c r="C332">
        <v>2004</v>
      </c>
      <c r="D332" t="s">
        <v>17</v>
      </c>
      <c r="E332" t="s">
        <v>116</v>
      </c>
      <c r="F332" t="s">
        <v>513</v>
      </c>
      <c r="G332">
        <v>240</v>
      </c>
      <c r="H332" t="s">
        <v>56</v>
      </c>
      <c r="I332" t="s">
        <v>186</v>
      </c>
      <c r="J332" t="s">
        <v>22</v>
      </c>
      <c r="K332" s="4">
        <v>229.37</v>
      </c>
      <c r="L332" t="s">
        <v>922</v>
      </c>
      <c r="M332" s="1">
        <v>46103</v>
      </c>
      <c r="N332" t="s">
        <v>41</v>
      </c>
      <c r="O332" t="s">
        <v>51</v>
      </c>
    </row>
    <row r="333" spans="1:15" x14ac:dyDescent="0.25">
      <c r="A333" t="s">
        <v>923</v>
      </c>
      <c r="B333" t="s">
        <v>98</v>
      </c>
      <c r="C333">
        <v>2007</v>
      </c>
      <c r="D333" t="s">
        <v>17</v>
      </c>
      <c r="E333" t="s">
        <v>18</v>
      </c>
      <c r="F333" t="s">
        <v>79</v>
      </c>
      <c r="G333">
        <v>50</v>
      </c>
      <c r="H333" t="s">
        <v>20</v>
      </c>
      <c r="I333" t="s">
        <v>30</v>
      </c>
      <c r="J333" t="s">
        <v>125</v>
      </c>
      <c r="K333" s="4">
        <v>471.31</v>
      </c>
      <c r="L333" t="s">
        <v>924</v>
      </c>
      <c r="M333" s="1">
        <v>46355</v>
      </c>
      <c r="N333" t="s">
        <v>24</v>
      </c>
      <c r="O333" t="s">
        <v>33</v>
      </c>
    </row>
    <row r="334" spans="1:15" x14ac:dyDescent="0.25">
      <c r="A334" t="s">
        <v>925</v>
      </c>
      <c r="B334" t="s">
        <v>98</v>
      </c>
      <c r="C334">
        <v>2021</v>
      </c>
      <c r="D334" t="s">
        <v>66</v>
      </c>
      <c r="E334" t="s">
        <v>72</v>
      </c>
      <c r="F334" t="s">
        <v>926</v>
      </c>
      <c r="G334">
        <v>370</v>
      </c>
      <c r="H334" t="s">
        <v>47</v>
      </c>
      <c r="I334" t="s">
        <v>186</v>
      </c>
      <c r="J334" t="s">
        <v>63</v>
      </c>
      <c r="K334" s="4">
        <v>190.98</v>
      </c>
      <c r="L334" t="s">
        <v>927</v>
      </c>
      <c r="M334" s="1">
        <v>46138</v>
      </c>
      <c r="N334" t="s">
        <v>75</v>
      </c>
      <c r="O334" t="s">
        <v>33</v>
      </c>
    </row>
    <row r="335" spans="1:15" x14ac:dyDescent="0.25">
      <c r="A335" t="s">
        <v>928</v>
      </c>
      <c r="B335" t="s">
        <v>98</v>
      </c>
      <c r="C335">
        <v>1990</v>
      </c>
      <c r="D335" t="s">
        <v>108</v>
      </c>
      <c r="E335" t="s">
        <v>18</v>
      </c>
      <c r="F335" t="s">
        <v>929</v>
      </c>
      <c r="G335">
        <v>340</v>
      </c>
      <c r="H335" t="s">
        <v>85</v>
      </c>
      <c r="I335" t="s">
        <v>21</v>
      </c>
      <c r="J335" t="s">
        <v>125</v>
      </c>
      <c r="K335" s="4">
        <v>394.54</v>
      </c>
      <c r="L335" t="s">
        <v>930</v>
      </c>
      <c r="M335" s="1">
        <v>46541</v>
      </c>
      <c r="N335" t="s">
        <v>41</v>
      </c>
      <c r="O335" t="s">
        <v>25</v>
      </c>
    </row>
    <row r="336" spans="1:15" x14ac:dyDescent="0.25">
      <c r="A336" t="s">
        <v>931</v>
      </c>
      <c r="B336" t="s">
        <v>98</v>
      </c>
      <c r="C336">
        <v>2007</v>
      </c>
      <c r="D336" t="s">
        <v>66</v>
      </c>
      <c r="E336" t="s">
        <v>60</v>
      </c>
      <c r="F336" t="s">
        <v>932</v>
      </c>
      <c r="G336">
        <v>410</v>
      </c>
      <c r="H336" t="s">
        <v>85</v>
      </c>
      <c r="I336" t="s">
        <v>21</v>
      </c>
      <c r="J336" t="s">
        <v>125</v>
      </c>
      <c r="K336" s="4">
        <v>414.62</v>
      </c>
      <c r="L336" t="s">
        <v>933</v>
      </c>
      <c r="M336" s="1">
        <v>46154</v>
      </c>
      <c r="N336" t="s">
        <v>24</v>
      </c>
      <c r="O336" t="s">
        <v>51</v>
      </c>
    </row>
    <row r="337" spans="1:15" x14ac:dyDescent="0.25">
      <c r="A337" t="s">
        <v>934</v>
      </c>
      <c r="B337" t="s">
        <v>138</v>
      </c>
      <c r="C337">
        <v>1993</v>
      </c>
      <c r="D337" t="s">
        <v>66</v>
      </c>
      <c r="E337" t="s">
        <v>104</v>
      </c>
      <c r="F337" t="s">
        <v>180</v>
      </c>
      <c r="G337">
        <v>910</v>
      </c>
      <c r="H337" t="s">
        <v>29</v>
      </c>
      <c r="I337" t="s">
        <v>86</v>
      </c>
      <c r="J337" t="s">
        <v>121</v>
      </c>
      <c r="K337" s="4">
        <v>312.08999999999997</v>
      </c>
      <c r="L337" t="s">
        <v>935</v>
      </c>
      <c r="M337" s="1">
        <v>45956</v>
      </c>
      <c r="N337" t="s">
        <v>24</v>
      </c>
      <c r="O337" t="s">
        <v>25</v>
      </c>
    </row>
    <row r="338" spans="1:15" x14ac:dyDescent="0.25">
      <c r="A338" t="s">
        <v>936</v>
      </c>
      <c r="B338" t="s">
        <v>35</v>
      </c>
      <c r="C338">
        <v>2012</v>
      </c>
      <c r="D338" t="s">
        <v>36</v>
      </c>
      <c r="E338" t="s">
        <v>116</v>
      </c>
      <c r="F338" t="s">
        <v>128</v>
      </c>
      <c r="G338">
        <v>700</v>
      </c>
      <c r="H338" t="s">
        <v>56</v>
      </c>
      <c r="I338" t="s">
        <v>151</v>
      </c>
      <c r="J338" t="s">
        <v>31</v>
      </c>
      <c r="K338" s="4">
        <v>270.91000000000003</v>
      </c>
      <c r="L338" t="s">
        <v>937</v>
      </c>
      <c r="M338" s="1">
        <v>46665</v>
      </c>
      <c r="N338" t="s">
        <v>24</v>
      </c>
      <c r="O338" t="s">
        <v>25</v>
      </c>
    </row>
    <row r="339" spans="1:15" x14ac:dyDescent="0.25">
      <c r="A339" t="s">
        <v>938</v>
      </c>
      <c r="B339" t="s">
        <v>16</v>
      </c>
      <c r="C339">
        <v>1999</v>
      </c>
      <c r="D339" t="s">
        <v>95</v>
      </c>
      <c r="E339" t="s">
        <v>60</v>
      </c>
      <c r="F339" t="s">
        <v>939</v>
      </c>
      <c r="G339">
        <v>140</v>
      </c>
      <c r="H339" t="s">
        <v>85</v>
      </c>
      <c r="I339" t="s">
        <v>91</v>
      </c>
      <c r="J339" t="s">
        <v>63</v>
      </c>
      <c r="K339" s="4">
        <v>337.22</v>
      </c>
      <c r="L339" t="s">
        <v>940</v>
      </c>
      <c r="M339" s="1">
        <v>46420</v>
      </c>
      <c r="N339" t="s">
        <v>24</v>
      </c>
      <c r="O339" t="s">
        <v>33</v>
      </c>
    </row>
    <row r="340" spans="1:15" x14ac:dyDescent="0.25">
      <c r="A340" t="s">
        <v>941</v>
      </c>
      <c r="B340" t="s">
        <v>53</v>
      </c>
      <c r="C340">
        <v>2015</v>
      </c>
      <c r="D340" t="s">
        <v>89</v>
      </c>
      <c r="E340" t="s">
        <v>104</v>
      </c>
      <c r="F340" t="s">
        <v>381</v>
      </c>
      <c r="G340">
        <v>540</v>
      </c>
      <c r="H340" t="s">
        <v>62</v>
      </c>
      <c r="I340" t="s">
        <v>80</v>
      </c>
      <c r="J340" t="s">
        <v>92</v>
      </c>
      <c r="K340" s="4">
        <v>474.01</v>
      </c>
      <c r="L340" t="s">
        <v>942</v>
      </c>
      <c r="M340" s="1">
        <v>46301</v>
      </c>
      <c r="N340" t="s">
        <v>41</v>
      </c>
      <c r="O340" t="s">
        <v>51</v>
      </c>
    </row>
    <row r="341" spans="1:15" x14ac:dyDescent="0.25">
      <c r="A341" t="s">
        <v>943</v>
      </c>
      <c r="B341" t="s">
        <v>59</v>
      </c>
      <c r="C341">
        <v>1999</v>
      </c>
      <c r="D341" t="s">
        <v>66</v>
      </c>
      <c r="E341" t="s">
        <v>78</v>
      </c>
      <c r="F341" t="s">
        <v>388</v>
      </c>
      <c r="G341">
        <v>830</v>
      </c>
      <c r="H341" t="s">
        <v>56</v>
      </c>
      <c r="I341" t="s">
        <v>80</v>
      </c>
      <c r="J341" t="s">
        <v>92</v>
      </c>
      <c r="K341" s="4">
        <v>368.71</v>
      </c>
      <c r="L341" t="s">
        <v>944</v>
      </c>
      <c r="M341" s="1">
        <v>46327</v>
      </c>
      <c r="N341" t="s">
        <v>75</v>
      </c>
      <c r="O341" t="s">
        <v>33</v>
      </c>
    </row>
    <row r="342" spans="1:15" x14ac:dyDescent="0.25">
      <c r="A342" t="s">
        <v>945</v>
      </c>
      <c r="B342" t="s">
        <v>98</v>
      </c>
      <c r="C342">
        <v>2001</v>
      </c>
      <c r="D342" t="s">
        <v>89</v>
      </c>
      <c r="E342" t="s">
        <v>99</v>
      </c>
      <c r="F342" t="s">
        <v>946</v>
      </c>
      <c r="G342">
        <v>580</v>
      </c>
      <c r="H342" t="s">
        <v>62</v>
      </c>
      <c r="I342" t="s">
        <v>73</v>
      </c>
      <c r="J342" t="s">
        <v>101</v>
      </c>
      <c r="K342" s="4">
        <v>456.86</v>
      </c>
      <c r="L342" t="s">
        <v>947</v>
      </c>
      <c r="M342" s="1">
        <v>46836</v>
      </c>
      <c r="N342" t="s">
        <v>24</v>
      </c>
      <c r="O342" t="s">
        <v>25</v>
      </c>
    </row>
    <row r="343" spans="1:15" x14ac:dyDescent="0.25">
      <c r="A343" t="s">
        <v>948</v>
      </c>
      <c r="B343" t="s">
        <v>70</v>
      </c>
      <c r="C343">
        <v>2009</v>
      </c>
      <c r="D343" t="s">
        <v>89</v>
      </c>
      <c r="E343" t="s">
        <v>72</v>
      </c>
      <c r="F343" t="s">
        <v>139</v>
      </c>
      <c r="G343">
        <v>110</v>
      </c>
      <c r="H343" t="s">
        <v>85</v>
      </c>
      <c r="I343" t="s">
        <v>186</v>
      </c>
      <c r="J343" t="s">
        <v>121</v>
      </c>
      <c r="K343" s="4">
        <v>108.81</v>
      </c>
      <c r="L343" t="s">
        <v>949</v>
      </c>
      <c r="M343" s="1">
        <v>46645</v>
      </c>
      <c r="N343" t="s">
        <v>41</v>
      </c>
      <c r="O343" t="s">
        <v>25</v>
      </c>
    </row>
    <row r="344" spans="1:15" x14ac:dyDescent="0.25">
      <c r="A344" t="s">
        <v>950</v>
      </c>
      <c r="B344" t="s">
        <v>98</v>
      </c>
      <c r="C344">
        <v>2015</v>
      </c>
      <c r="D344" t="s">
        <v>89</v>
      </c>
      <c r="E344" t="s">
        <v>18</v>
      </c>
      <c r="F344" t="s">
        <v>250</v>
      </c>
      <c r="G344">
        <v>350</v>
      </c>
      <c r="H344" t="s">
        <v>29</v>
      </c>
      <c r="I344" t="s">
        <v>30</v>
      </c>
      <c r="J344" t="s">
        <v>49</v>
      </c>
      <c r="K344" s="4">
        <v>262.52999999999997</v>
      </c>
      <c r="L344" t="s">
        <v>951</v>
      </c>
      <c r="M344" s="1">
        <v>46383</v>
      </c>
      <c r="N344" t="s">
        <v>75</v>
      </c>
      <c r="O344" t="s">
        <v>51</v>
      </c>
    </row>
    <row r="345" spans="1:15" x14ac:dyDescent="0.25">
      <c r="A345" t="s">
        <v>952</v>
      </c>
      <c r="B345" t="s">
        <v>43</v>
      </c>
      <c r="C345">
        <v>2023</v>
      </c>
      <c r="D345" t="s">
        <v>95</v>
      </c>
      <c r="E345" t="s">
        <v>78</v>
      </c>
      <c r="F345" t="s">
        <v>953</v>
      </c>
      <c r="G345">
        <v>850</v>
      </c>
      <c r="H345" t="s">
        <v>47</v>
      </c>
      <c r="I345" t="s">
        <v>21</v>
      </c>
      <c r="J345" t="s">
        <v>101</v>
      </c>
      <c r="K345" s="4">
        <v>54.04</v>
      </c>
      <c r="L345" t="s">
        <v>954</v>
      </c>
      <c r="M345" s="1">
        <v>46535</v>
      </c>
      <c r="N345" t="s">
        <v>75</v>
      </c>
      <c r="O345" t="s">
        <v>25</v>
      </c>
    </row>
    <row r="346" spans="1:15" x14ac:dyDescent="0.25">
      <c r="A346" t="s">
        <v>955</v>
      </c>
      <c r="B346" t="s">
        <v>134</v>
      </c>
      <c r="C346">
        <v>2016</v>
      </c>
      <c r="D346" t="s">
        <v>66</v>
      </c>
      <c r="E346" t="s">
        <v>78</v>
      </c>
      <c r="F346" t="s">
        <v>162</v>
      </c>
      <c r="G346">
        <v>300</v>
      </c>
      <c r="H346" t="s">
        <v>85</v>
      </c>
      <c r="I346" t="s">
        <v>21</v>
      </c>
      <c r="J346" t="s">
        <v>121</v>
      </c>
      <c r="K346" s="4">
        <v>272.82</v>
      </c>
      <c r="L346" t="s">
        <v>956</v>
      </c>
      <c r="M346" s="1">
        <v>46948</v>
      </c>
      <c r="N346" t="s">
        <v>24</v>
      </c>
      <c r="O346" t="s">
        <v>33</v>
      </c>
    </row>
    <row r="347" spans="1:15" x14ac:dyDescent="0.25">
      <c r="A347" t="s">
        <v>957</v>
      </c>
      <c r="B347" t="s">
        <v>53</v>
      </c>
      <c r="C347">
        <v>2007</v>
      </c>
      <c r="D347" t="s">
        <v>27</v>
      </c>
      <c r="E347" t="s">
        <v>60</v>
      </c>
      <c r="F347" t="s">
        <v>139</v>
      </c>
      <c r="G347">
        <v>880</v>
      </c>
      <c r="H347" t="s">
        <v>29</v>
      </c>
      <c r="I347" t="s">
        <v>86</v>
      </c>
      <c r="J347" t="s">
        <v>125</v>
      </c>
      <c r="K347" s="4">
        <v>344.14</v>
      </c>
      <c r="L347" t="s">
        <v>958</v>
      </c>
      <c r="M347" s="1">
        <v>46933</v>
      </c>
      <c r="N347" t="s">
        <v>24</v>
      </c>
      <c r="O347" t="s">
        <v>33</v>
      </c>
    </row>
    <row r="348" spans="1:15" x14ac:dyDescent="0.25">
      <c r="A348" t="s">
        <v>959</v>
      </c>
      <c r="B348" t="s">
        <v>16</v>
      </c>
      <c r="C348">
        <v>2020</v>
      </c>
      <c r="D348" t="s">
        <v>36</v>
      </c>
      <c r="E348" t="s">
        <v>116</v>
      </c>
      <c r="F348" t="s">
        <v>960</v>
      </c>
      <c r="G348">
        <v>310</v>
      </c>
      <c r="H348" t="s">
        <v>20</v>
      </c>
      <c r="I348" t="s">
        <v>39</v>
      </c>
      <c r="J348" t="s">
        <v>110</v>
      </c>
      <c r="K348" s="4">
        <v>344.86</v>
      </c>
      <c r="L348" t="s">
        <v>961</v>
      </c>
      <c r="M348" s="1">
        <v>46272</v>
      </c>
      <c r="N348" t="s">
        <v>75</v>
      </c>
      <c r="O348" t="s">
        <v>51</v>
      </c>
    </row>
    <row r="349" spans="1:15" x14ac:dyDescent="0.25">
      <c r="A349" t="s">
        <v>298</v>
      </c>
      <c r="B349" t="s">
        <v>43</v>
      </c>
      <c r="C349">
        <v>2002</v>
      </c>
      <c r="D349" t="s">
        <v>44</v>
      </c>
      <c r="E349" t="s">
        <v>116</v>
      </c>
      <c r="F349" t="s">
        <v>962</v>
      </c>
      <c r="G349">
        <v>640</v>
      </c>
      <c r="H349" t="s">
        <v>47</v>
      </c>
      <c r="I349" t="s">
        <v>48</v>
      </c>
      <c r="J349" t="s">
        <v>101</v>
      </c>
      <c r="K349" s="4">
        <v>66.66</v>
      </c>
      <c r="L349" t="s">
        <v>963</v>
      </c>
      <c r="M349" s="1">
        <v>46299</v>
      </c>
      <c r="N349" t="s">
        <v>24</v>
      </c>
      <c r="O349" t="s">
        <v>25</v>
      </c>
    </row>
    <row r="350" spans="1:15" x14ac:dyDescent="0.25">
      <c r="A350" t="s">
        <v>964</v>
      </c>
      <c r="B350" t="s">
        <v>43</v>
      </c>
      <c r="C350">
        <v>2018</v>
      </c>
      <c r="D350" t="s">
        <v>83</v>
      </c>
      <c r="E350" t="s">
        <v>78</v>
      </c>
      <c r="F350" t="s">
        <v>79</v>
      </c>
      <c r="G350">
        <v>870</v>
      </c>
      <c r="H350" t="s">
        <v>47</v>
      </c>
      <c r="I350" t="s">
        <v>186</v>
      </c>
      <c r="J350" t="s">
        <v>49</v>
      </c>
      <c r="K350" s="4">
        <v>432.69</v>
      </c>
      <c r="L350" t="s">
        <v>965</v>
      </c>
      <c r="M350" s="1">
        <v>46482</v>
      </c>
      <c r="N350" t="s">
        <v>41</v>
      </c>
      <c r="O350" t="s">
        <v>25</v>
      </c>
    </row>
    <row r="351" spans="1:15" x14ac:dyDescent="0.25">
      <c r="A351" t="s">
        <v>966</v>
      </c>
      <c r="B351" t="s">
        <v>134</v>
      </c>
      <c r="C351">
        <v>2008</v>
      </c>
      <c r="D351" t="s">
        <v>71</v>
      </c>
      <c r="E351" t="s">
        <v>18</v>
      </c>
      <c r="F351" t="s">
        <v>967</v>
      </c>
      <c r="G351">
        <v>800</v>
      </c>
      <c r="H351" t="s">
        <v>85</v>
      </c>
      <c r="I351" t="s">
        <v>80</v>
      </c>
      <c r="J351" t="s">
        <v>49</v>
      </c>
      <c r="K351" s="4">
        <v>10.33</v>
      </c>
      <c r="L351" t="s">
        <v>968</v>
      </c>
      <c r="M351" s="1">
        <v>46535</v>
      </c>
      <c r="N351" t="s">
        <v>75</v>
      </c>
      <c r="O351" t="s">
        <v>33</v>
      </c>
    </row>
    <row r="352" spans="1:15" x14ac:dyDescent="0.25">
      <c r="A352" t="s">
        <v>969</v>
      </c>
      <c r="B352" t="s">
        <v>138</v>
      </c>
      <c r="C352">
        <v>2008</v>
      </c>
      <c r="D352" t="s">
        <v>66</v>
      </c>
      <c r="E352" t="s">
        <v>54</v>
      </c>
      <c r="F352" t="s">
        <v>970</v>
      </c>
      <c r="G352">
        <v>70</v>
      </c>
      <c r="H352" t="s">
        <v>20</v>
      </c>
      <c r="I352" t="s">
        <v>21</v>
      </c>
      <c r="J352" t="s">
        <v>101</v>
      </c>
      <c r="K352" s="4">
        <v>57.33</v>
      </c>
      <c r="L352" t="s">
        <v>971</v>
      </c>
      <c r="M352" s="1">
        <v>46606</v>
      </c>
      <c r="N352" t="s">
        <v>41</v>
      </c>
      <c r="O352" t="s">
        <v>25</v>
      </c>
    </row>
    <row r="353" spans="1:15" x14ac:dyDescent="0.25">
      <c r="A353" t="s">
        <v>972</v>
      </c>
      <c r="B353" t="s">
        <v>77</v>
      </c>
      <c r="C353">
        <v>1993</v>
      </c>
      <c r="D353" t="s">
        <v>89</v>
      </c>
      <c r="E353" t="s">
        <v>72</v>
      </c>
      <c r="F353" t="s">
        <v>973</v>
      </c>
      <c r="G353">
        <v>160</v>
      </c>
      <c r="H353" t="s">
        <v>62</v>
      </c>
      <c r="I353" t="s">
        <v>80</v>
      </c>
      <c r="J353" t="s">
        <v>110</v>
      </c>
      <c r="K353" s="4">
        <v>483.23</v>
      </c>
      <c r="L353" t="s">
        <v>974</v>
      </c>
      <c r="M353" s="1">
        <v>46936</v>
      </c>
      <c r="N353" t="s">
        <v>41</v>
      </c>
      <c r="O353" t="s">
        <v>25</v>
      </c>
    </row>
    <row r="354" spans="1:15" x14ac:dyDescent="0.25">
      <c r="A354" t="s">
        <v>975</v>
      </c>
      <c r="B354" t="s">
        <v>98</v>
      </c>
      <c r="C354">
        <v>1997</v>
      </c>
      <c r="D354" t="s">
        <v>95</v>
      </c>
      <c r="E354" t="s">
        <v>104</v>
      </c>
      <c r="F354" t="s">
        <v>28</v>
      </c>
      <c r="G354">
        <v>270</v>
      </c>
      <c r="H354" t="s">
        <v>20</v>
      </c>
      <c r="I354" t="s">
        <v>48</v>
      </c>
      <c r="J354" t="s">
        <v>63</v>
      </c>
      <c r="K354" s="4">
        <v>283.82</v>
      </c>
      <c r="L354" t="s">
        <v>976</v>
      </c>
      <c r="M354" s="1">
        <v>46827</v>
      </c>
      <c r="N354" t="s">
        <v>24</v>
      </c>
      <c r="O354" t="s">
        <v>51</v>
      </c>
    </row>
    <row r="355" spans="1:15" x14ac:dyDescent="0.25">
      <c r="A355" t="s">
        <v>977</v>
      </c>
      <c r="B355" t="s">
        <v>43</v>
      </c>
      <c r="C355">
        <v>1995</v>
      </c>
      <c r="D355" t="s">
        <v>95</v>
      </c>
      <c r="E355" t="s">
        <v>119</v>
      </c>
      <c r="F355" t="s">
        <v>978</v>
      </c>
      <c r="G355">
        <v>520</v>
      </c>
      <c r="H355" t="s">
        <v>47</v>
      </c>
      <c r="I355" t="s">
        <v>186</v>
      </c>
      <c r="J355" t="s">
        <v>125</v>
      </c>
      <c r="K355" s="4">
        <v>365.03</v>
      </c>
      <c r="L355" t="s">
        <v>979</v>
      </c>
      <c r="M355" s="1">
        <v>46879</v>
      </c>
      <c r="N355" t="s">
        <v>24</v>
      </c>
      <c r="O355" t="s">
        <v>33</v>
      </c>
    </row>
    <row r="356" spans="1:15" x14ac:dyDescent="0.25">
      <c r="A356" t="s">
        <v>980</v>
      </c>
      <c r="B356" t="s">
        <v>59</v>
      </c>
      <c r="C356">
        <v>2007</v>
      </c>
      <c r="D356" t="s">
        <v>17</v>
      </c>
      <c r="E356" t="s">
        <v>45</v>
      </c>
      <c r="F356" t="s">
        <v>124</v>
      </c>
      <c r="G356">
        <v>350</v>
      </c>
      <c r="H356" t="s">
        <v>85</v>
      </c>
      <c r="I356" t="s">
        <v>91</v>
      </c>
      <c r="J356" t="s">
        <v>125</v>
      </c>
      <c r="K356" s="4">
        <v>347.02</v>
      </c>
      <c r="L356" t="s">
        <v>981</v>
      </c>
      <c r="M356" s="1">
        <v>46706</v>
      </c>
      <c r="N356" t="s">
        <v>75</v>
      </c>
      <c r="O356" t="s">
        <v>33</v>
      </c>
    </row>
    <row r="357" spans="1:15" x14ac:dyDescent="0.25">
      <c r="A357" t="s">
        <v>982</v>
      </c>
      <c r="B357" t="s">
        <v>70</v>
      </c>
      <c r="C357">
        <v>2007</v>
      </c>
      <c r="D357" t="s">
        <v>17</v>
      </c>
      <c r="E357" t="s">
        <v>99</v>
      </c>
      <c r="F357" t="s">
        <v>250</v>
      </c>
      <c r="G357">
        <v>980</v>
      </c>
      <c r="H357" t="s">
        <v>20</v>
      </c>
      <c r="I357" t="s">
        <v>86</v>
      </c>
      <c r="J357" t="s">
        <v>101</v>
      </c>
      <c r="K357" s="4">
        <v>121.61</v>
      </c>
      <c r="L357" t="s">
        <v>983</v>
      </c>
      <c r="M357" s="1">
        <v>46276</v>
      </c>
      <c r="N357" t="s">
        <v>41</v>
      </c>
      <c r="O357" t="s">
        <v>51</v>
      </c>
    </row>
    <row r="358" spans="1:15" x14ac:dyDescent="0.25">
      <c r="A358" t="s">
        <v>984</v>
      </c>
      <c r="B358" t="s">
        <v>138</v>
      </c>
      <c r="C358">
        <v>1997</v>
      </c>
      <c r="D358" t="s">
        <v>83</v>
      </c>
      <c r="E358" t="s">
        <v>72</v>
      </c>
      <c r="F358" t="s">
        <v>135</v>
      </c>
      <c r="G358">
        <v>590</v>
      </c>
      <c r="H358" t="s">
        <v>38</v>
      </c>
      <c r="I358" t="s">
        <v>151</v>
      </c>
      <c r="J358" t="s">
        <v>101</v>
      </c>
      <c r="K358" s="4">
        <v>171.6</v>
      </c>
      <c r="L358" t="s">
        <v>985</v>
      </c>
      <c r="M358" s="1">
        <v>46347</v>
      </c>
      <c r="N358" t="s">
        <v>24</v>
      </c>
      <c r="O358" t="s">
        <v>33</v>
      </c>
    </row>
    <row r="359" spans="1:15" x14ac:dyDescent="0.25">
      <c r="A359" t="s">
        <v>986</v>
      </c>
      <c r="B359" t="s">
        <v>77</v>
      </c>
      <c r="C359">
        <v>2018</v>
      </c>
      <c r="D359" t="s">
        <v>89</v>
      </c>
      <c r="E359" t="s">
        <v>54</v>
      </c>
      <c r="F359" t="s">
        <v>987</v>
      </c>
      <c r="G359">
        <v>790</v>
      </c>
      <c r="H359" t="s">
        <v>85</v>
      </c>
      <c r="I359" t="s">
        <v>80</v>
      </c>
      <c r="J359" t="s">
        <v>49</v>
      </c>
      <c r="K359" s="4">
        <v>379.73</v>
      </c>
      <c r="L359" t="s">
        <v>988</v>
      </c>
      <c r="M359" s="1">
        <v>46837</v>
      </c>
      <c r="N359" t="s">
        <v>24</v>
      </c>
      <c r="O359" t="s">
        <v>33</v>
      </c>
    </row>
    <row r="360" spans="1:15" x14ac:dyDescent="0.25">
      <c r="A360" t="s">
        <v>989</v>
      </c>
      <c r="B360" t="s">
        <v>59</v>
      </c>
      <c r="C360">
        <v>2019</v>
      </c>
      <c r="D360" t="s">
        <v>83</v>
      </c>
      <c r="E360" t="s">
        <v>119</v>
      </c>
      <c r="F360" t="s">
        <v>208</v>
      </c>
      <c r="G360">
        <v>500</v>
      </c>
      <c r="H360" t="s">
        <v>85</v>
      </c>
      <c r="I360" t="s">
        <v>39</v>
      </c>
      <c r="J360" t="s">
        <v>31</v>
      </c>
      <c r="K360" s="4">
        <v>13.97</v>
      </c>
      <c r="L360" t="s">
        <v>990</v>
      </c>
      <c r="M360" s="1">
        <v>46731</v>
      </c>
      <c r="N360" t="s">
        <v>41</v>
      </c>
      <c r="O360" t="s">
        <v>51</v>
      </c>
    </row>
    <row r="361" spans="1:15" x14ac:dyDescent="0.25">
      <c r="A361" t="s">
        <v>991</v>
      </c>
      <c r="B361" t="s">
        <v>43</v>
      </c>
      <c r="C361">
        <v>2013</v>
      </c>
      <c r="D361" t="s">
        <v>71</v>
      </c>
      <c r="E361" t="s">
        <v>45</v>
      </c>
      <c r="F361" t="s">
        <v>90</v>
      </c>
      <c r="G361">
        <v>10</v>
      </c>
      <c r="H361" t="s">
        <v>56</v>
      </c>
      <c r="I361" t="s">
        <v>86</v>
      </c>
      <c r="J361" t="s">
        <v>31</v>
      </c>
      <c r="K361" s="4">
        <v>378.09</v>
      </c>
      <c r="L361" t="s">
        <v>992</v>
      </c>
      <c r="M361" s="1">
        <v>46443</v>
      </c>
      <c r="N361" t="s">
        <v>75</v>
      </c>
      <c r="O361" t="s">
        <v>33</v>
      </c>
    </row>
    <row r="362" spans="1:15" x14ac:dyDescent="0.25">
      <c r="A362" t="s">
        <v>993</v>
      </c>
      <c r="B362" t="s">
        <v>70</v>
      </c>
      <c r="C362">
        <v>1997</v>
      </c>
      <c r="D362" t="s">
        <v>83</v>
      </c>
      <c r="E362" t="s">
        <v>45</v>
      </c>
      <c r="F362" t="s">
        <v>994</v>
      </c>
      <c r="G362">
        <v>430</v>
      </c>
      <c r="H362" t="s">
        <v>62</v>
      </c>
      <c r="I362" t="s">
        <v>48</v>
      </c>
      <c r="J362" t="s">
        <v>31</v>
      </c>
      <c r="K362" s="4">
        <v>180.42</v>
      </c>
      <c r="L362" t="s">
        <v>995</v>
      </c>
      <c r="M362" s="1">
        <v>45935</v>
      </c>
      <c r="N362" t="s">
        <v>41</v>
      </c>
      <c r="O362" t="s">
        <v>51</v>
      </c>
    </row>
    <row r="363" spans="1:15" x14ac:dyDescent="0.25">
      <c r="A363" t="s">
        <v>996</v>
      </c>
      <c r="B363" t="s">
        <v>77</v>
      </c>
      <c r="C363">
        <v>2019</v>
      </c>
      <c r="D363" t="s">
        <v>89</v>
      </c>
      <c r="E363" t="s">
        <v>72</v>
      </c>
      <c r="F363" t="s">
        <v>139</v>
      </c>
      <c r="G363">
        <v>550</v>
      </c>
      <c r="H363" t="s">
        <v>38</v>
      </c>
      <c r="I363" t="s">
        <v>151</v>
      </c>
      <c r="J363" t="s">
        <v>22</v>
      </c>
      <c r="K363" s="4">
        <v>22.31</v>
      </c>
      <c r="L363" t="s">
        <v>997</v>
      </c>
      <c r="M363" s="1">
        <v>46219</v>
      </c>
      <c r="N363" t="s">
        <v>24</v>
      </c>
      <c r="O363" t="s">
        <v>33</v>
      </c>
    </row>
    <row r="364" spans="1:15" x14ac:dyDescent="0.25">
      <c r="A364" t="s">
        <v>998</v>
      </c>
      <c r="B364" t="s">
        <v>53</v>
      </c>
      <c r="C364">
        <v>2018</v>
      </c>
      <c r="D364" t="s">
        <v>66</v>
      </c>
      <c r="E364" t="s">
        <v>60</v>
      </c>
      <c r="F364" t="s">
        <v>999</v>
      </c>
      <c r="G364">
        <v>450</v>
      </c>
      <c r="H364" t="s">
        <v>29</v>
      </c>
      <c r="I364" t="s">
        <v>91</v>
      </c>
      <c r="J364" t="s">
        <v>31</v>
      </c>
      <c r="K364" s="4">
        <v>370.32</v>
      </c>
      <c r="L364" t="s">
        <v>1000</v>
      </c>
      <c r="M364" s="1">
        <v>46021</v>
      </c>
      <c r="N364" t="s">
        <v>75</v>
      </c>
      <c r="O364" t="s">
        <v>51</v>
      </c>
    </row>
    <row r="365" spans="1:15" x14ac:dyDescent="0.25">
      <c r="A365" t="s">
        <v>1001</v>
      </c>
      <c r="B365" t="s">
        <v>138</v>
      </c>
      <c r="C365">
        <v>2021</v>
      </c>
      <c r="D365" t="s">
        <v>89</v>
      </c>
      <c r="E365" t="s">
        <v>78</v>
      </c>
      <c r="F365" t="s">
        <v>1002</v>
      </c>
      <c r="G365">
        <v>700</v>
      </c>
      <c r="H365" t="s">
        <v>62</v>
      </c>
      <c r="I365" t="s">
        <v>80</v>
      </c>
      <c r="J365" t="s">
        <v>110</v>
      </c>
      <c r="K365" s="4">
        <v>120.95</v>
      </c>
      <c r="L365" t="s">
        <v>1003</v>
      </c>
      <c r="M365" s="1">
        <v>46464</v>
      </c>
      <c r="N365" t="s">
        <v>24</v>
      </c>
      <c r="O365" t="s">
        <v>51</v>
      </c>
    </row>
    <row r="366" spans="1:15" x14ac:dyDescent="0.25">
      <c r="A366" t="s">
        <v>1004</v>
      </c>
      <c r="B366" t="s">
        <v>138</v>
      </c>
      <c r="C366">
        <v>2013</v>
      </c>
      <c r="D366" t="s">
        <v>83</v>
      </c>
      <c r="E366" t="s">
        <v>104</v>
      </c>
      <c r="F366" t="s">
        <v>1005</v>
      </c>
      <c r="G366">
        <v>570</v>
      </c>
      <c r="H366" t="s">
        <v>85</v>
      </c>
      <c r="I366" t="s">
        <v>73</v>
      </c>
      <c r="J366" t="s">
        <v>125</v>
      </c>
      <c r="K366" s="4">
        <v>94.02</v>
      </c>
      <c r="L366" t="s">
        <v>1006</v>
      </c>
      <c r="M366" s="1">
        <v>46917</v>
      </c>
      <c r="N366" t="s">
        <v>75</v>
      </c>
      <c r="O366" t="s">
        <v>33</v>
      </c>
    </row>
    <row r="367" spans="1:15" x14ac:dyDescent="0.25">
      <c r="A367" t="s">
        <v>1007</v>
      </c>
      <c r="B367" t="s">
        <v>43</v>
      </c>
      <c r="C367">
        <v>1998</v>
      </c>
      <c r="D367" t="s">
        <v>44</v>
      </c>
      <c r="E367" t="s">
        <v>104</v>
      </c>
      <c r="F367" t="s">
        <v>1008</v>
      </c>
      <c r="G367">
        <v>260</v>
      </c>
      <c r="H367" t="s">
        <v>85</v>
      </c>
      <c r="I367" t="s">
        <v>80</v>
      </c>
      <c r="J367" t="s">
        <v>110</v>
      </c>
      <c r="K367" s="4">
        <v>194.72</v>
      </c>
      <c r="L367" t="s">
        <v>1009</v>
      </c>
      <c r="M367" s="1">
        <v>46058</v>
      </c>
      <c r="N367" t="s">
        <v>41</v>
      </c>
      <c r="O367" t="s">
        <v>25</v>
      </c>
    </row>
    <row r="368" spans="1:15" x14ac:dyDescent="0.25">
      <c r="A368" t="s">
        <v>1010</v>
      </c>
      <c r="B368" t="s">
        <v>70</v>
      </c>
      <c r="C368">
        <v>2014</v>
      </c>
      <c r="D368" t="s">
        <v>83</v>
      </c>
      <c r="E368" t="s">
        <v>54</v>
      </c>
      <c r="F368" t="s">
        <v>131</v>
      </c>
      <c r="G368">
        <v>680</v>
      </c>
      <c r="H368" t="s">
        <v>56</v>
      </c>
      <c r="I368" t="s">
        <v>80</v>
      </c>
      <c r="J368" t="s">
        <v>22</v>
      </c>
      <c r="K368" s="4">
        <v>230.6</v>
      </c>
      <c r="L368" t="s">
        <v>1011</v>
      </c>
      <c r="M368" s="1">
        <v>46432</v>
      </c>
      <c r="N368" t="s">
        <v>41</v>
      </c>
      <c r="O368" t="s">
        <v>33</v>
      </c>
    </row>
    <row r="369" spans="1:15" x14ac:dyDescent="0.25">
      <c r="A369" t="s">
        <v>1012</v>
      </c>
      <c r="B369" t="s">
        <v>77</v>
      </c>
      <c r="C369">
        <v>1990</v>
      </c>
      <c r="D369" t="s">
        <v>71</v>
      </c>
      <c r="E369" t="s">
        <v>116</v>
      </c>
      <c r="F369" t="s">
        <v>1002</v>
      </c>
      <c r="G369">
        <v>970</v>
      </c>
      <c r="H369" t="s">
        <v>47</v>
      </c>
      <c r="I369" t="s">
        <v>91</v>
      </c>
      <c r="J369" t="s">
        <v>49</v>
      </c>
      <c r="K369" s="4">
        <v>98.64</v>
      </c>
      <c r="L369" t="s">
        <v>1013</v>
      </c>
      <c r="M369" s="1">
        <v>46775</v>
      </c>
      <c r="N369" t="s">
        <v>41</v>
      </c>
      <c r="O369" t="s">
        <v>25</v>
      </c>
    </row>
    <row r="370" spans="1:15" x14ac:dyDescent="0.25">
      <c r="A370" t="s">
        <v>1014</v>
      </c>
      <c r="B370" t="s">
        <v>98</v>
      </c>
      <c r="C370">
        <v>1991</v>
      </c>
      <c r="D370" t="s">
        <v>17</v>
      </c>
      <c r="E370" t="s">
        <v>18</v>
      </c>
      <c r="F370" t="s">
        <v>28</v>
      </c>
      <c r="G370">
        <v>600</v>
      </c>
      <c r="H370" t="s">
        <v>38</v>
      </c>
      <c r="I370" t="s">
        <v>39</v>
      </c>
      <c r="J370" t="s">
        <v>110</v>
      </c>
      <c r="K370" s="4">
        <v>23.34</v>
      </c>
      <c r="L370" t="s">
        <v>1015</v>
      </c>
      <c r="M370" s="1">
        <v>46161</v>
      </c>
      <c r="N370" t="s">
        <v>75</v>
      </c>
      <c r="O370" t="s">
        <v>25</v>
      </c>
    </row>
    <row r="371" spans="1:15" x14ac:dyDescent="0.25">
      <c r="A371" t="s">
        <v>1016</v>
      </c>
      <c r="B371" t="s">
        <v>43</v>
      </c>
      <c r="C371">
        <v>1992</v>
      </c>
      <c r="D371" t="s">
        <v>95</v>
      </c>
      <c r="E371" t="s">
        <v>104</v>
      </c>
      <c r="F371" t="s">
        <v>661</v>
      </c>
      <c r="G371">
        <v>360</v>
      </c>
      <c r="H371" t="s">
        <v>47</v>
      </c>
      <c r="I371" t="s">
        <v>73</v>
      </c>
      <c r="J371" t="s">
        <v>146</v>
      </c>
      <c r="K371" s="4">
        <v>311.77</v>
      </c>
      <c r="L371" t="s">
        <v>1017</v>
      </c>
      <c r="M371" s="1">
        <v>45983</v>
      </c>
      <c r="N371" t="s">
        <v>41</v>
      </c>
      <c r="O371" t="s">
        <v>51</v>
      </c>
    </row>
    <row r="372" spans="1:15" x14ac:dyDescent="0.25">
      <c r="A372" t="s">
        <v>1018</v>
      </c>
      <c r="B372" t="s">
        <v>43</v>
      </c>
      <c r="C372">
        <v>2020</v>
      </c>
      <c r="D372" t="s">
        <v>27</v>
      </c>
      <c r="E372" t="s">
        <v>18</v>
      </c>
      <c r="F372" t="s">
        <v>162</v>
      </c>
      <c r="G372">
        <v>750</v>
      </c>
      <c r="H372" t="s">
        <v>85</v>
      </c>
      <c r="I372" t="s">
        <v>48</v>
      </c>
      <c r="J372" t="s">
        <v>63</v>
      </c>
      <c r="K372" s="4">
        <v>3.1</v>
      </c>
      <c r="L372" t="s">
        <v>1019</v>
      </c>
      <c r="M372" s="1">
        <v>46300</v>
      </c>
      <c r="N372" t="s">
        <v>75</v>
      </c>
      <c r="O372" t="s">
        <v>51</v>
      </c>
    </row>
    <row r="373" spans="1:15" x14ac:dyDescent="0.25">
      <c r="A373" t="s">
        <v>1020</v>
      </c>
      <c r="B373" t="s">
        <v>35</v>
      </c>
      <c r="C373">
        <v>2024</v>
      </c>
      <c r="D373" t="s">
        <v>66</v>
      </c>
      <c r="E373" t="s">
        <v>99</v>
      </c>
      <c r="F373" t="s">
        <v>1021</v>
      </c>
      <c r="G373">
        <v>910</v>
      </c>
      <c r="H373" t="s">
        <v>56</v>
      </c>
      <c r="I373" t="s">
        <v>30</v>
      </c>
      <c r="J373" t="s">
        <v>125</v>
      </c>
      <c r="K373" s="4">
        <v>343.56</v>
      </c>
      <c r="L373" t="s">
        <v>1022</v>
      </c>
      <c r="M373" s="1">
        <v>46647</v>
      </c>
      <c r="N373" t="s">
        <v>75</v>
      </c>
      <c r="O373" t="s">
        <v>25</v>
      </c>
    </row>
    <row r="374" spans="1:15" x14ac:dyDescent="0.25">
      <c r="A374" t="s">
        <v>1023</v>
      </c>
      <c r="B374" t="s">
        <v>134</v>
      </c>
      <c r="C374">
        <v>2002</v>
      </c>
      <c r="D374" t="s">
        <v>108</v>
      </c>
      <c r="E374" t="s">
        <v>60</v>
      </c>
      <c r="F374" t="s">
        <v>135</v>
      </c>
      <c r="G374">
        <v>70</v>
      </c>
      <c r="H374" t="s">
        <v>62</v>
      </c>
      <c r="I374" t="s">
        <v>73</v>
      </c>
      <c r="J374" t="s">
        <v>49</v>
      </c>
      <c r="K374" s="4">
        <v>419.57</v>
      </c>
      <c r="L374" t="s">
        <v>1024</v>
      </c>
      <c r="M374" s="1">
        <v>46258</v>
      </c>
      <c r="N374" t="s">
        <v>75</v>
      </c>
      <c r="O374" t="s">
        <v>51</v>
      </c>
    </row>
    <row r="375" spans="1:15" x14ac:dyDescent="0.25">
      <c r="A375" t="s">
        <v>1025</v>
      </c>
      <c r="B375" t="s">
        <v>70</v>
      </c>
      <c r="C375">
        <v>2001</v>
      </c>
      <c r="D375" t="s">
        <v>17</v>
      </c>
      <c r="E375" t="s">
        <v>72</v>
      </c>
      <c r="F375" t="s">
        <v>1026</v>
      </c>
      <c r="G375">
        <v>520</v>
      </c>
      <c r="H375" t="s">
        <v>38</v>
      </c>
      <c r="I375" t="s">
        <v>186</v>
      </c>
      <c r="J375" t="s">
        <v>31</v>
      </c>
      <c r="K375" s="4">
        <v>313.73</v>
      </c>
      <c r="L375" t="s">
        <v>1027</v>
      </c>
      <c r="M375" s="1">
        <v>46845</v>
      </c>
      <c r="N375" t="s">
        <v>41</v>
      </c>
      <c r="O375" t="s">
        <v>33</v>
      </c>
    </row>
    <row r="376" spans="1:15" x14ac:dyDescent="0.25">
      <c r="A376" t="s">
        <v>1028</v>
      </c>
      <c r="B376" t="s">
        <v>70</v>
      </c>
      <c r="C376">
        <v>1996</v>
      </c>
      <c r="D376" t="s">
        <v>83</v>
      </c>
      <c r="E376" t="s">
        <v>18</v>
      </c>
      <c r="F376" t="s">
        <v>139</v>
      </c>
      <c r="G376">
        <v>300</v>
      </c>
      <c r="H376" t="s">
        <v>29</v>
      </c>
      <c r="I376" t="s">
        <v>39</v>
      </c>
      <c r="J376" t="s">
        <v>22</v>
      </c>
      <c r="K376" s="4">
        <v>161.93</v>
      </c>
      <c r="L376" t="s">
        <v>1029</v>
      </c>
      <c r="M376" s="1">
        <v>46194</v>
      </c>
      <c r="N376" t="s">
        <v>24</v>
      </c>
      <c r="O376" t="s">
        <v>33</v>
      </c>
    </row>
    <row r="377" spans="1:15" x14ac:dyDescent="0.25">
      <c r="A377" t="s">
        <v>1030</v>
      </c>
      <c r="B377" t="s">
        <v>138</v>
      </c>
      <c r="C377">
        <v>2023</v>
      </c>
      <c r="D377" t="s">
        <v>27</v>
      </c>
      <c r="E377" t="s">
        <v>104</v>
      </c>
      <c r="F377" t="s">
        <v>61</v>
      </c>
      <c r="G377">
        <v>910</v>
      </c>
      <c r="H377" t="s">
        <v>62</v>
      </c>
      <c r="I377" t="s">
        <v>80</v>
      </c>
      <c r="J377" t="s">
        <v>92</v>
      </c>
      <c r="K377" s="4">
        <v>383.03</v>
      </c>
      <c r="L377" t="s">
        <v>1031</v>
      </c>
      <c r="M377" s="1">
        <v>46906</v>
      </c>
      <c r="N377" t="s">
        <v>75</v>
      </c>
      <c r="O377" t="s">
        <v>25</v>
      </c>
    </row>
    <row r="378" spans="1:15" x14ac:dyDescent="0.25">
      <c r="A378" t="s">
        <v>1032</v>
      </c>
      <c r="B378" t="s">
        <v>43</v>
      </c>
      <c r="C378">
        <v>1997</v>
      </c>
      <c r="D378" t="s">
        <v>95</v>
      </c>
      <c r="E378" t="s">
        <v>116</v>
      </c>
      <c r="F378" t="s">
        <v>250</v>
      </c>
      <c r="G378">
        <v>880</v>
      </c>
      <c r="H378" t="s">
        <v>62</v>
      </c>
      <c r="I378" t="s">
        <v>80</v>
      </c>
      <c r="J378" t="s">
        <v>49</v>
      </c>
      <c r="K378" s="4">
        <v>166.85</v>
      </c>
      <c r="L378" t="s">
        <v>1033</v>
      </c>
      <c r="M378" s="1">
        <v>46526</v>
      </c>
      <c r="N378" t="s">
        <v>75</v>
      </c>
      <c r="O378" t="s">
        <v>33</v>
      </c>
    </row>
    <row r="379" spans="1:15" x14ac:dyDescent="0.25">
      <c r="A379" t="s">
        <v>1034</v>
      </c>
      <c r="B379" t="s">
        <v>98</v>
      </c>
      <c r="C379">
        <v>2014</v>
      </c>
      <c r="D379" t="s">
        <v>71</v>
      </c>
      <c r="E379" t="s">
        <v>72</v>
      </c>
      <c r="F379" t="s">
        <v>722</v>
      </c>
      <c r="G379">
        <v>450</v>
      </c>
      <c r="H379" t="s">
        <v>47</v>
      </c>
      <c r="I379" t="s">
        <v>186</v>
      </c>
      <c r="J379" t="s">
        <v>101</v>
      </c>
      <c r="K379" s="4">
        <v>442.24</v>
      </c>
      <c r="L379" t="s">
        <v>1035</v>
      </c>
      <c r="M379" s="1">
        <v>46870</v>
      </c>
      <c r="N379" t="s">
        <v>41</v>
      </c>
      <c r="O379" t="s">
        <v>25</v>
      </c>
    </row>
    <row r="380" spans="1:15" x14ac:dyDescent="0.25">
      <c r="A380" t="s">
        <v>1036</v>
      </c>
      <c r="B380" t="s">
        <v>35</v>
      </c>
      <c r="C380">
        <v>1998</v>
      </c>
      <c r="D380" t="s">
        <v>83</v>
      </c>
      <c r="E380" t="s">
        <v>116</v>
      </c>
      <c r="F380" t="s">
        <v>28</v>
      </c>
      <c r="G380">
        <v>470</v>
      </c>
      <c r="H380" t="s">
        <v>62</v>
      </c>
      <c r="I380" t="s">
        <v>186</v>
      </c>
      <c r="J380" t="s">
        <v>101</v>
      </c>
      <c r="K380" s="4">
        <v>243.42</v>
      </c>
      <c r="L380" t="s">
        <v>1037</v>
      </c>
      <c r="M380" s="1">
        <v>46221</v>
      </c>
      <c r="N380" t="s">
        <v>24</v>
      </c>
      <c r="O380" t="s">
        <v>51</v>
      </c>
    </row>
    <row r="381" spans="1:15" x14ac:dyDescent="0.25">
      <c r="A381" t="s">
        <v>1038</v>
      </c>
      <c r="B381" t="s">
        <v>43</v>
      </c>
      <c r="C381">
        <v>2007</v>
      </c>
      <c r="D381" t="s">
        <v>66</v>
      </c>
      <c r="E381" t="s">
        <v>78</v>
      </c>
      <c r="F381" t="s">
        <v>79</v>
      </c>
      <c r="G381">
        <v>750</v>
      </c>
      <c r="H381" t="s">
        <v>62</v>
      </c>
      <c r="I381" t="s">
        <v>186</v>
      </c>
      <c r="J381" t="s">
        <v>22</v>
      </c>
      <c r="K381" s="4">
        <v>75.05</v>
      </c>
      <c r="L381" t="s">
        <v>1039</v>
      </c>
      <c r="M381" s="1">
        <v>46890</v>
      </c>
      <c r="N381" t="s">
        <v>24</v>
      </c>
      <c r="O381" t="s">
        <v>33</v>
      </c>
    </row>
    <row r="382" spans="1:15" x14ac:dyDescent="0.25">
      <c r="A382" t="s">
        <v>1040</v>
      </c>
      <c r="B382" t="s">
        <v>53</v>
      </c>
      <c r="C382">
        <v>2010</v>
      </c>
      <c r="D382" t="s">
        <v>27</v>
      </c>
      <c r="E382" t="s">
        <v>119</v>
      </c>
      <c r="F382" t="s">
        <v>79</v>
      </c>
      <c r="G382">
        <v>270</v>
      </c>
      <c r="H382" t="s">
        <v>62</v>
      </c>
      <c r="I382" t="s">
        <v>151</v>
      </c>
      <c r="J382" t="s">
        <v>146</v>
      </c>
      <c r="K382" s="4">
        <v>5.28</v>
      </c>
      <c r="L382" t="s">
        <v>1041</v>
      </c>
      <c r="M382" s="1">
        <v>46624</v>
      </c>
      <c r="N382" t="s">
        <v>41</v>
      </c>
      <c r="O382" t="s">
        <v>25</v>
      </c>
    </row>
    <row r="383" spans="1:15" x14ac:dyDescent="0.25">
      <c r="A383" t="s">
        <v>1042</v>
      </c>
      <c r="B383" t="s">
        <v>134</v>
      </c>
      <c r="C383">
        <v>2006</v>
      </c>
      <c r="D383" t="s">
        <v>44</v>
      </c>
      <c r="E383" t="s">
        <v>78</v>
      </c>
      <c r="F383" t="s">
        <v>1043</v>
      </c>
      <c r="G383">
        <v>430</v>
      </c>
      <c r="H383" t="s">
        <v>56</v>
      </c>
      <c r="I383" t="s">
        <v>186</v>
      </c>
      <c r="J383" t="s">
        <v>146</v>
      </c>
      <c r="K383" s="4">
        <v>226.02</v>
      </c>
      <c r="L383" t="s">
        <v>1044</v>
      </c>
      <c r="M383" s="1">
        <v>46638</v>
      </c>
      <c r="N383" t="s">
        <v>41</v>
      </c>
      <c r="O383" t="s">
        <v>33</v>
      </c>
    </row>
    <row r="384" spans="1:15" x14ac:dyDescent="0.25">
      <c r="A384" t="s">
        <v>1045</v>
      </c>
      <c r="B384" t="s">
        <v>70</v>
      </c>
      <c r="C384">
        <v>2003</v>
      </c>
      <c r="D384" t="s">
        <v>66</v>
      </c>
      <c r="E384" t="s">
        <v>60</v>
      </c>
      <c r="F384" t="s">
        <v>470</v>
      </c>
      <c r="G384">
        <v>20</v>
      </c>
      <c r="H384" t="s">
        <v>29</v>
      </c>
      <c r="I384" t="s">
        <v>21</v>
      </c>
      <c r="J384" t="s">
        <v>101</v>
      </c>
      <c r="K384" s="4">
        <v>273.08999999999997</v>
      </c>
      <c r="L384" t="s">
        <v>1046</v>
      </c>
      <c r="M384" s="1">
        <v>46911</v>
      </c>
      <c r="N384" t="s">
        <v>41</v>
      </c>
      <c r="O384" t="s">
        <v>33</v>
      </c>
    </row>
    <row r="385" spans="1:15" x14ac:dyDescent="0.25">
      <c r="A385" t="s">
        <v>1047</v>
      </c>
      <c r="B385" t="s">
        <v>134</v>
      </c>
      <c r="C385">
        <v>1994</v>
      </c>
      <c r="D385" t="s">
        <v>108</v>
      </c>
      <c r="E385" t="s">
        <v>60</v>
      </c>
      <c r="F385" t="s">
        <v>470</v>
      </c>
      <c r="G385">
        <v>250</v>
      </c>
      <c r="H385" t="s">
        <v>85</v>
      </c>
      <c r="I385" t="s">
        <v>73</v>
      </c>
      <c r="J385" t="s">
        <v>31</v>
      </c>
      <c r="K385" s="4">
        <v>260.86</v>
      </c>
      <c r="L385" t="s">
        <v>1048</v>
      </c>
      <c r="M385" s="1">
        <v>46743</v>
      </c>
      <c r="N385" t="s">
        <v>24</v>
      </c>
      <c r="O385" t="s">
        <v>33</v>
      </c>
    </row>
    <row r="386" spans="1:15" x14ac:dyDescent="0.25">
      <c r="A386" t="s">
        <v>1049</v>
      </c>
      <c r="B386" t="s">
        <v>98</v>
      </c>
      <c r="C386">
        <v>2022</v>
      </c>
      <c r="D386" t="s">
        <v>89</v>
      </c>
      <c r="E386" t="s">
        <v>116</v>
      </c>
      <c r="F386" t="s">
        <v>1050</v>
      </c>
      <c r="G386">
        <v>140</v>
      </c>
      <c r="H386" t="s">
        <v>29</v>
      </c>
      <c r="I386" t="s">
        <v>91</v>
      </c>
      <c r="J386" t="s">
        <v>92</v>
      </c>
      <c r="K386" s="4">
        <v>237.73</v>
      </c>
      <c r="L386" t="s">
        <v>1051</v>
      </c>
      <c r="M386" s="1">
        <v>46772</v>
      </c>
      <c r="N386" t="s">
        <v>24</v>
      </c>
      <c r="O386" t="s">
        <v>51</v>
      </c>
    </row>
    <row r="387" spans="1:15" x14ac:dyDescent="0.25">
      <c r="A387" t="s">
        <v>1052</v>
      </c>
      <c r="B387" t="s">
        <v>59</v>
      </c>
      <c r="C387">
        <v>2013</v>
      </c>
      <c r="D387" t="s">
        <v>89</v>
      </c>
      <c r="E387" t="s">
        <v>60</v>
      </c>
      <c r="F387" t="s">
        <v>135</v>
      </c>
      <c r="G387">
        <v>810</v>
      </c>
      <c r="H387" t="s">
        <v>85</v>
      </c>
      <c r="I387" t="s">
        <v>86</v>
      </c>
      <c r="J387" t="s">
        <v>31</v>
      </c>
      <c r="K387" s="4">
        <v>431.74</v>
      </c>
      <c r="L387" t="s">
        <v>1053</v>
      </c>
      <c r="M387" s="1">
        <v>46796</v>
      </c>
      <c r="N387" t="s">
        <v>75</v>
      </c>
      <c r="O387" t="s">
        <v>25</v>
      </c>
    </row>
    <row r="388" spans="1:15" x14ac:dyDescent="0.25">
      <c r="A388" t="s">
        <v>1054</v>
      </c>
      <c r="B388" t="s">
        <v>53</v>
      </c>
      <c r="C388">
        <v>2011</v>
      </c>
      <c r="D388" t="s">
        <v>108</v>
      </c>
      <c r="E388" t="s">
        <v>72</v>
      </c>
      <c r="F388" t="s">
        <v>1055</v>
      </c>
      <c r="G388">
        <v>500</v>
      </c>
      <c r="H388" t="s">
        <v>62</v>
      </c>
      <c r="I388" t="s">
        <v>73</v>
      </c>
      <c r="J388" t="s">
        <v>92</v>
      </c>
      <c r="K388" s="4">
        <v>407.72</v>
      </c>
      <c r="L388" t="s">
        <v>1056</v>
      </c>
      <c r="M388" s="1">
        <v>46275</v>
      </c>
      <c r="N388" t="s">
        <v>24</v>
      </c>
      <c r="O388" t="s">
        <v>51</v>
      </c>
    </row>
    <row r="389" spans="1:15" x14ac:dyDescent="0.25">
      <c r="A389" t="s">
        <v>1057</v>
      </c>
      <c r="B389" t="s">
        <v>138</v>
      </c>
      <c r="C389">
        <v>1994</v>
      </c>
      <c r="D389" t="s">
        <v>95</v>
      </c>
      <c r="E389" t="s">
        <v>119</v>
      </c>
      <c r="F389" t="s">
        <v>418</v>
      </c>
      <c r="G389">
        <v>700</v>
      </c>
      <c r="H389" t="s">
        <v>62</v>
      </c>
      <c r="I389" t="s">
        <v>80</v>
      </c>
      <c r="J389" t="s">
        <v>92</v>
      </c>
      <c r="K389" s="4">
        <v>395.41</v>
      </c>
      <c r="L389" t="s">
        <v>1058</v>
      </c>
      <c r="M389" s="1">
        <v>46829</v>
      </c>
      <c r="N389" t="s">
        <v>41</v>
      </c>
      <c r="O389" t="s">
        <v>25</v>
      </c>
    </row>
    <row r="390" spans="1:15" x14ac:dyDescent="0.25">
      <c r="A390" t="s">
        <v>1059</v>
      </c>
      <c r="B390" t="s">
        <v>43</v>
      </c>
      <c r="C390">
        <v>1994</v>
      </c>
      <c r="D390" t="s">
        <v>36</v>
      </c>
      <c r="E390" t="s">
        <v>18</v>
      </c>
      <c r="F390" t="s">
        <v>79</v>
      </c>
      <c r="G390">
        <v>740</v>
      </c>
      <c r="H390" t="s">
        <v>29</v>
      </c>
      <c r="I390" t="s">
        <v>86</v>
      </c>
      <c r="J390" t="s">
        <v>121</v>
      </c>
      <c r="K390" s="4">
        <v>12.14</v>
      </c>
      <c r="L390" t="s">
        <v>1060</v>
      </c>
      <c r="M390" s="1">
        <v>46622</v>
      </c>
      <c r="N390" t="s">
        <v>75</v>
      </c>
      <c r="O390" t="s">
        <v>51</v>
      </c>
    </row>
    <row r="391" spans="1:15" x14ac:dyDescent="0.25">
      <c r="A391" t="s">
        <v>1061</v>
      </c>
      <c r="B391" t="s">
        <v>16</v>
      </c>
      <c r="C391">
        <v>2010</v>
      </c>
      <c r="D391" t="s">
        <v>89</v>
      </c>
      <c r="E391" t="s">
        <v>119</v>
      </c>
      <c r="F391" t="s">
        <v>180</v>
      </c>
      <c r="G391">
        <v>820</v>
      </c>
      <c r="H391" t="s">
        <v>62</v>
      </c>
      <c r="I391" t="s">
        <v>73</v>
      </c>
      <c r="J391" t="s">
        <v>31</v>
      </c>
      <c r="K391" s="4">
        <v>132.1</v>
      </c>
      <c r="L391" t="s">
        <v>1062</v>
      </c>
      <c r="M391" s="1">
        <v>46623</v>
      </c>
      <c r="N391" t="s">
        <v>24</v>
      </c>
      <c r="O391" t="s">
        <v>25</v>
      </c>
    </row>
    <row r="392" spans="1:15" x14ac:dyDescent="0.25">
      <c r="A392" t="s">
        <v>1063</v>
      </c>
      <c r="B392" t="s">
        <v>35</v>
      </c>
      <c r="C392">
        <v>1995</v>
      </c>
      <c r="D392" t="s">
        <v>71</v>
      </c>
      <c r="E392" t="s">
        <v>104</v>
      </c>
      <c r="F392" t="s">
        <v>145</v>
      </c>
      <c r="G392">
        <v>950</v>
      </c>
      <c r="H392" t="s">
        <v>29</v>
      </c>
      <c r="I392" t="s">
        <v>151</v>
      </c>
      <c r="J392" t="s">
        <v>121</v>
      </c>
      <c r="K392" s="4">
        <v>362.42</v>
      </c>
      <c r="L392" t="s">
        <v>1064</v>
      </c>
      <c r="M392" s="1">
        <v>46318</v>
      </c>
      <c r="N392" t="s">
        <v>24</v>
      </c>
      <c r="O392" t="s">
        <v>51</v>
      </c>
    </row>
    <row r="393" spans="1:15" x14ac:dyDescent="0.25">
      <c r="A393" t="s">
        <v>1065</v>
      </c>
      <c r="B393" t="s">
        <v>43</v>
      </c>
      <c r="C393">
        <v>1991</v>
      </c>
      <c r="D393" t="s">
        <v>44</v>
      </c>
      <c r="E393" t="s">
        <v>72</v>
      </c>
      <c r="F393" t="s">
        <v>603</v>
      </c>
      <c r="G393">
        <v>650</v>
      </c>
      <c r="H393" t="s">
        <v>47</v>
      </c>
      <c r="I393" t="s">
        <v>73</v>
      </c>
      <c r="J393" t="s">
        <v>31</v>
      </c>
      <c r="K393" s="4">
        <v>382.02</v>
      </c>
      <c r="L393" t="s">
        <v>1066</v>
      </c>
      <c r="M393" s="1">
        <v>46582</v>
      </c>
      <c r="N393" t="s">
        <v>75</v>
      </c>
      <c r="O393" t="s">
        <v>33</v>
      </c>
    </row>
    <row r="394" spans="1:15" x14ac:dyDescent="0.25">
      <c r="A394" t="s">
        <v>1067</v>
      </c>
      <c r="B394" t="s">
        <v>98</v>
      </c>
      <c r="C394">
        <v>2019</v>
      </c>
      <c r="D394" t="s">
        <v>71</v>
      </c>
      <c r="E394" t="s">
        <v>116</v>
      </c>
      <c r="F394" t="s">
        <v>124</v>
      </c>
      <c r="G394">
        <v>740</v>
      </c>
      <c r="H394" t="s">
        <v>29</v>
      </c>
      <c r="I394" t="s">
        <v>48</v>
      </c>
      <c r="J394" t="s">
        <v>121</v>
      </c>
      <c r="K394" s="4">
        <v>94.03</v>
      </c>
      <c r="L394" t="s">
        <v>1068</v>
      </c>
      <c r="M394" s="1">
        <v>46640</v>
      </c>
      <c r="N394" t="s">
        <v>24</v>
      </c>
      <c r="O394" t="s">
        <v>51</v>
      </c>
    </row>
    <row r="395" spans="1:15" x14ac:dyDescent="0.25">
      <c r="A395" t="s">
        <v>1069</v>
      </c>
      <c r="B395" t="s">
        <v>98</v>
      </c>
      <c r="C395">
        <v>2022</v>
      </c>
      <c r="D395" t="s">
        <v>44</v>
      </c>
      <c r="E395" t="s">
        <v>78</v>
      </c>
      <c r="F395" t="s">
        <v>208</v>
      </c>
      <c r="G395">
        <v>500</v>
      </c>
      <c r="H395" t="s">
        <v>56</v>
      </c>
      <c r="I395" t="s">
        <v>91</v>
      </c>
      <c r="J395" t="s">
        <v>110</v>
      </c>
      <c r="K395" s="4">
        <v>12.8</v>
      </c>
      <c r="L395" t="s">
        <v>1070</v>
      </c>
      <c r="M395" s="1">
        <v>46482</v>
      </c>
      <c r="N395" t="s">
        <v>24</v>
      </c>
      <c r="O395" t="s">
        <v>33</v>
      </c>
    </row>
    <row r="396" spans="1:15" x14ac:dyDescent="0.25">
      <c r="A396" t="s">
        <v>1071</v>
      </c>
      <c r="B396" t="s">
        <v>134</v>
      </c>
      <c r="C396">
        <v>2024</v>
      </c>
      <c r="D396" t="s">
        <v>17</v>
      </c>
      <c r="E396" t="s">
        <v>104</v>
      </c>
      <c r="F396" t="s">
        <v>499</v>
      </c>
      <c r="G396">
        <v>940</v>
      </c>
      <c r="H396" t="s">
        <v>47</v>
      </c>
      <c r="I396" t="s">
        <v>151</v>
      </c>
      <c r="J396" t="s">
        <v>49</v>
      </c>
      <c r="K396" s="4">
        <v>404.44</v>
      </c>
      <c r="L396" t="s">
        <v>1072</v>
      </c>
      <c r="M396" s="1">
        <v>46845</v>
      </c>
      <c r="N396" t="s">
        <v>75</v>
      </c>
      <c r="O396" t="s">
        <v>33</v>
      </c>
    </row>
    <row r="397" spans="1:15" x14ac:dyDescent="0.25">
      <c r="A397" t="s">
        <v>1073</v>
      </c>
      <c r="B397" t="s">
        <v>16</v>
      </c>
      <c r="C397">
        <v>2006</v>
      </c>
      <c r="D397" t="s">
        <v>44</v>
      </c>
      <c r="E397" t="s">
        <v>54</v>
      </c>
      <c r="F397" t="s">
        <v>139</v>
      </c>
      <c r="G397">
        <v>670</v>
      </c>
      <c r="H397" t="s">
        <v>29</v>
      </c>
      <c r="I397" t="s">
        <v>80</v>
      </c>
      <c r="J397" t="s">
        <v>31</v>
      </c>
      <c r="K397" s="4">
        <v>196.27</v>
      </c>
      <c r="L397" t="s">
        <v>1074</v>
      </c>
      <c r="M397" s="1">
        <v>46123</v>
      </c>
      <c r="N397" t="s">
        <v>24</v>
      </c>
      <c r="O397" t="s">
        <v>51</v>
      </c>
    </row>
    <row r="398" spans="1:15" x14ac:dyDescent="0.25">
      <c r="A398" t="s">
        <v>1075</v>
      </c>
      <c r="B398" t="s">
        <v>134</v>
      </c>
      <c r="C398">
        <v>1990</v>
      </c>
      <c r="D398" t="s">
        <v>95</v>
      </c>
      <c r="E398" t="s">
        <v>104</v>
      </c>
      <c r="F398" t="s">
        <v>1076</v>
      </c>
      <c r="G398">
        <v>220</v>
      </c>
      <c r="H398" t="s">
        <v>56</v>
      </c>
      <c r="I398" t="s">
        <v>151</v>
      </c>
      <c r="J398" t="s">
        <v>92</v>
      </c>
      <c r="K398" s="4">
        <v>420.92</v>
      </c>
      <c r="L398" t="s">
        <v>1077</v>
      </c>
      <c r="M398" s="1">
        <v>46956</v>
      </c>
      <c r="N398" t="s">
        <v>24</v>
      </c>
      <c r="O398" t="s">
        <v>25</v>
      </c>
    </row>
    <row r="399" spans="1:15" x14ac:dyDescent="0.25">
      <c r="A399" t="s">
        <v>1078</v>
      </c>
      <c r="B399" t="s">
        <v>134</v>
      </c>
      <c r="C399">
        <v>2018</v>
      </c>
      <c r="D399" t="s">
        <v>66</v>
      </c>
      <c r="E399" t="s">
        <v>119</v>
      </c>
      <c r="F399" t="s">
        <v>1079</v>
      </c>
      <c r="G399">
        <v>150</v>
      </c>
      <c r="H399" t="s">
        <v>38</v>
      </c>
      <c r="I399" t="s">
        <v>80</v>
      </c>
      <c r="J399" t="s">
        <v>146</v>
      </c>
      <c r="K399" s="4">
        <v>211.51</v>
      </c>
      <c r="L399" t="s">
        <v>1080</v>
      </c>
      <c r="M399" s="1">
        <v>46696</v>
      </c>
      <c r="N399" t="s">
        <v>24</v>
      </c>
      <c r="O399" t="s">
        <v>25</v>
      </c>
    </row>
    <row r="400" spans="1:15" x14ac:dyDescent="0.25">
      <c r="A400" t="s">
        <v>1081</v>
      </c>
      <c r="B400" t="s">
        <v>53</v>
      </c>
      <c r="C400">
        <v>1994</v>
      </c>
      <c r="D400" t="s">
        <v>36</v>
      </c>
      <c r="E400" t="s">
        <v>45</v>
      </c>
      <c r="F400" t="s">
        <v>208</v>
      </c>
      <c r="G400">
        <v>270</v>
      </c>
      <c r="H400" t="s">
        <v>47</v>
      </c>
      <c r="I400" t="s">
        <v>86</v>
      </c>
      <c r="J400" t="s">
        <v>125</v>
      </c>
      <c r="K400" s="4">
        <v>442.08</v>
      </c>
      <c r="L400" t="s">
        <v>1082</v>
      </c>
      <c r="M400" s="1">
        <v>46214</v>
      </c>
      <c r="N400" t="s">
        <v>75</v>
      </c>
      <c r="O400" t="s">
        <v>33</v>
      </c>
    </row>
    <row r="401" spans="1:15" x14ac:dyDescent="0.25">
      <c r="A401" t="s">
        <v>1083</v>
      </c>
      <c r="B401" t="s">
        <v>59</v>
      </c>
      <c r="C401">
        <v>2014</v>
      </c>
      <c r="D401" t="s">
        <v>17</v>
      </c>
      <c r="E401" t="s">
        <v>54</v>
      </c>
      <c r="F401" t="s">
        <v>1084</v>
      </c>
      <c r="G401">
        <v>520</v>
      </c>
      <c r="H401" t="s">
        <v>85</v>
      </c>
      <c r="I401" t="s">
        <v>21</v>
      </c>
      <c r="J401" t="s">
        <v>63</v>
      </c>
      <c r="K401" s="4">
        <v>354.5</v>
      </c>
      <c r="L401" t="s">
        <v>1085</v>
      </c>
      <c r="M401" s="1">
        <v>46428</v>
      </c>
      <c r="N401" t="s">
        <v>41</v>
      </c>
      <c r="O401" t="s">
        <v>33</v>
      </c>
    </row>
    <row r="402" spans="1:15" x14ac:dyDescent="0.25">
      <c r="A402" t="s">
        <v>1086</v>
      </c>
      <c r="B402" t="s">
        <v>35</v>
      </c>
      <c r="C402">
        <v>2014</v>
      </c>
      <c r="D402" t="s">
        <v>44</v>
      </c>
      <c r="E402" t="s">
        <v>72</v>
      </c>
      <c r="F402" t="s">
        <v>252</v>
      </c>
      <c r="G402">
        <v>270</v>
      </c>
      <c r="H402" t="s">
        <v>38</v>
      </c>
      <c r="I402" t="s">
        <v>30</v>
      </c>
      <c r="J402" t="s">
        <v>125</v>
      </c>
      <c r="K402" s="4">
        <v>196.65</v>
      </c>
      <c r="L402" t="s">
        <v>1087</v>
      </c>
      <c r="M402" s="1">
        <v>46001</v>
      </c>
      <c r="N402" t="s">
        <v>24</v>
      </c>
      <c r="O402" t="s">
        <v>51</v>
      </c>
    </row>
    <row r="403" spans="1:15" x14ac:dyDescent="0.25">
      <c r="A403" t="s">
        <v>1088</v>
      </c>
      <c r="B403" t="s">
        <v>77</v>
      </c>
      <c r="C403">
        <v>2011</v>
      </c>
      <c r="D403" t="s">
        <v>71</v>
      </c>
      <c r="E403" t="s">
        <v>119</v>
      </c>
      <c r="F403" t="s">
        <v>67</v>
      </c>
      <c r="G403">
        <v>330</v>
      </c>
      <c r="H403" t="s">
        <v>47</v>
      </c>
      <c r="I403" t="s">
        <v>30</v>
      </c>
      <c r="J403" t="s">
        <v>31</v>
      </c>
      <c r="K403" s="4">
        <v>151.65</v>
      </c>
      <c r="L403" t="s">
        <v>1089</v>
      </c>
      <c r="M403" s="1">
        <v>46273</v>
      </c>
      <c r="N403" t="s">
        <v>24</v>
      </c>
      <c r="O403" t="s">
        <v>25</v>
      </c>
    </row>
    <row r="404" spans="1:15" x14ac:dyDescent="0.25">
      <c r="A404" t="s">
        <v>1090</v>
      </c>
      <c r="B404" t="s">
        <v>16</v>
      </c>
      <c r="C404">
        <v>1996</v>
      </c>
      <c r="D404" t="s">
        <v>83</v>
      </c>
      <c r="E404" t="s">
        <v>119</v>
      </c>
      <c r="F404" t="s">
        <v>388</v>
      </c>
      <c r="G404">
        <v>240</v>
      </c>
      <c r="H404" t="s">
        <v>85</v>
      </c>
      <c r="I404" t="s">
        <v>48</v>
      </c>
      <c r="J404" t="s">
        <v>110</v>
      </c>
      <c r="K404" s="4">
        <v>241.12</v>
      </c>
      <c r="L404" t="s">
        <v>1091</v>
      </c>
      <c r="M404" s="1">
        <v>46859</v>
      </c>
      <c r="N404" t="s">
        <v>75</v>
      </c>
      <c r="O404" t="s">
        <v>51</v>
      </c>
    </row>
    <row r="405" spans="1:15" x14ac:dyDescent="0.25">
      <c r="A405" t="s">
        <v>1092</v>
      </c>
      <c r="B405" t="s">
        <v>59</v>
      </c>
      <c r="C405">
        <v>2012</v>
      </c>
      <c r="D405" t="s">
        <v>89</v>
      </c>
      <c r="E405" t="s">
        <v>116</v>
      </c>
      <c r="F405" t="s">
        <v>493</v>
      </c>
      <c r="G405">
        <v>100</v>
      </c>
      <c r="H405" t="s">
        <v>20</v>
      </c>
      <c r="I405" t="s">
        <v>80</v>
      </c>
      <c r="J405" t="s">
        <v>146</v>
      </c>
      <c r="K405" s="4">
        <v>336.25</v>
      </c>
      <c r="L405" t="s">
        <v>1093</v>
      </c>
      <c r="M405" s="1">
        <v>46202</v>
      </c>
      <c r="N405" t="s">
        <v>41</v>
      </c>
      <c r="O405" t="s">
        <v>51</v>
      </c>
    </row>
    <row r="406" spans="1:15" x14ac:dyDescent="0.25">
      <c r="A406" t="s">
        <v>1094</v>
      </c>
      <c r="B406" t="s">
        <v>138</v>
      </c>
      <c r="C406">
        <v>2004</v>
      </c>
      <c r="D406" t="s">
        <v>108</v>
      </c>
      <c r="E406" t="s">
        <v>119</v>
      </c>
      <c r="F406" t="s">
        <v>28</v>
      </c>
      <c r="G406">
        <v>480</v>
      </c>
      <c r="H406" t="s">
        <v>56</v>
      </c>
      <c r="I406" t="s">
        <v>151</v>
      </c>
      <c r="J406" t="s">
        <v>49</v>
      </c>
      <c r="K406" s="4">
        <v>165.66</v>
      </c>
      <c r="L406" t="s">
        <v>1095</v>
      </c>
      <c r="M406" s="1">
        <v>46475</v>
      </c>
      <c r="N406" t="s">
        <v>24</v>
      </c>
      <c r="O406" t="s">
        <v>25</v>
      </c>
    </row>
    <row r="407" spans="1:15" x14ac:dyDescent="0.25">
      <c r="A407" t="s">
        <v>1096</v>
      </c>
      <c r="B407" t="s">
        <v>43</v>
      </c>
      <c r="C407">
        <v>2012</v>
      </c>
      <c r="D407" t="s">
        <v>83</v>
      </c>
      <c r="E407" t="s">
        <v>18</v>
      </c>
      <c r="F407" t="s">
        <v>1097</v>
      </c>
      <c r="G407">
        <v>300</v>
      </c>
      <c r="H407" t="s">
        <v>85</v>
      </c>
      <c r="I407" t="s">
        <v>39</v>
      </c>
      <c r="J407" t="s">
        <v>146</v>
      </c>
      <c r="K407" s="4">
        <v>147.58000000000001</v>
      </c>
      <c r="L407" t="s">
        <v>1098</v>
      </c>
      <c r="M407" s="1">
        <v>46218</v>
      </c>
      <c r="N407" t="s">
        <v>75</v>
      </c>
      <c r="O407" t="s">
        <v>33</v>
      </c>
    </row>
    <row r="408" spans="1:15" x14ac:dyDescent="0.25">
      <c r="A408" t="s">
        <v>1099</v>
      </c>
      <c r="B408" t="s">
        <v>70</v>
      </c>
      <c r="C408">
        <v>2020</v>
      </c>
      <c r="D408" t="s">
        <v>36</v>
      </c>
      <c r="E408" t="s">
        <v>45</v>
      </c>
      <c r="F408" t="s">
        <v>1100</v>
      </c>
      <c r="G408">
        <v>320</v>
      </c>
      <c r="H408" t="s">
        <v>56</v>
      </c>
      <c r="I408" t="s">
        <v>86</v>
      </c>
      <c r="J408" t="s">
        <v>31</v>
      </c>
      <c r="K408" s="4">
        <v>409.08</v>
      </c>
      <c r="L408" t="s">
        <v>1101</v>
      </c>
      <c r="M408" s="1">
        <v>46730</v>
      </c>
      <c r="N408" t="s">
        <v>24</v>
      </c>
      <c r="O408" t="s">
        <v>51</v>
      </c>
    </row>
    <row r="409" spans="1:15" x14ac:dyDescent="0.25">
      <c r="A409" t="s">
        <v>1102</v>
      </c>
      <c r="B409" t="s">
        <v>35</v>
      </c>
      <c r="C409">
        <v>2013</v>
      </c>
      <c r="D409" t="s">
        <v>108</v>
      </c>
      <c r="E409" t="s">
        <v>45</v>
      </c>
      <c r="F409" t="s">
        <v>1103</v>
      </c>
      <c r="G409">
        <v>540</v>
      </c>
      <c r="H409" t="s">
        <v>62</v>
      </c>
      <c r="I409" t="s">
        <v>21</v>
      </c>
      <c r="J409" t="s">
        <v>146</v>
      </c>
      <c r="K409" s="4">
        <v>456.94</v>
      </c>
      <c r="L409" t="s">
        <v>1104</v>
      </c>
      <c r="M409" s="1">
        <v>46947</v>
      </c>
      <c r="N409" t="s">
        <v>41</v>
      </c>
      <c r="O409" t="s">
        <v>33</v>
      </c>
    </row>
    <row r="410" spans="1:15" x14ac:dyDescent="0.25">
      <c r="A410" t="s">
        <v>1105</v>
      </c>
      <c r="B410" t="s">
        <v>138</v>
      </c>
      <c r="C410">
        <v>2020</v>
      </c>
      <c r="D410" t="s">
        <v>71</v>
      </c>
      <c r="E410" t="s">
        <v>72</v>
      </c>
      <c r="F410" t="s">
        <v>1106</v>
      </c>
      <c r="G410">
        <v>570</v>
      </c>
      <c r="H410" t="s">
        <v>29</v>
      </c>
      <c r="I410" t="s">
        <v>80</v>
      </c>
      <c r="J410" t="s">
        <v>110</v>
      </c>
      <c r="K410" s="4">
        <v>91.37</v>
      </c>
      <c r="L410" t="s">
        <v>1107</v>
      </c>
      <c r="M410" s="1">
        <v>46581</v>
      </c>
      <c r="N410" t="s">
        <v>24</v>
      </c>
      <c r="O410" t="s">
        <v>25</v>
      </c>
    </row>
    <row r="411" spans="1:15" x14ac:dyDescent="0.25">
      <c r="A411" t="s">
        <v>1108</v>
      </c>
      <c r="B411" t="s">
        <v>16</v>
      </c>
      <c r="C411">
        <v>2020</v>
      </c>
      <c r="D411" t="s">
        <v>17</v>
      </c>
      <c r="E411" t="s">
        <v>78</v>
      </c>
      <c r="F411" t="s">
        <v>513</v>
      </c>
      <c r="G411">
        <v>400</v>
      </c>
      <c r="H411" t="s">
        <v>38</v>
      </c>
      <c r="I411" t="s">
        <v>151</v>
      </c>
      <c r="J411" t="s">
        <v>31</v>
      </c>
      <c r="K411" s="4">
        <v>453.17</v>
      </c>
      <c r="L411" t="s">
        <v>1109</v>
      </c>
      <c r="M411" s="1">
        <v>45924</v>
      </c>
      <c r="N411" t="s">
        <v>24</v>
      </c>
      <c r="O411" t="s">
        <v>25</v>
      </c>
    </row>
    <row r="412" spans="1:15" x14ac:dyDescent="0.25">
      <c r="A412" t="s">
        <v>1110</v>
      </c>
      <c r="B412" t="s">
        <v>16</v>
      </c>
      <c r="C412">
        <v>2008</v>
      </c>
      <c r="D412" t="s">
        <v>66</v>
      </c>
      <c r="E412" t="s">
        <v>18</v>
      </c>
      <c r="F412" t="s">
        <v>145</v>
      </c>
      <c r="G412">
        <v>930</v>
      </c>
      <c r="H412" t="s">
        <v>47</v>
      </c>
      <c r="I412" t="s">
        <v>151</v>
      </c>
      <c r="J412" t="s">
        <v>49</v>
      </c>
      <c r="K412" s="4">
        <v>19.8</v>
      </c>
      <c r="L412" t="s">
        <v>1111</v>
      </c>
      <c r="M412" s="1">
        <v>46693</v>
      </c>
      <c r="N412" t="s">
        <v>24</v>
      </c>
      <c r="O412" t="s">
        <v>25</v>
      </c>
    </row>
    <row r="413" spans="1:15" x14ac:dyDescent="0.25">
      <c r="A413" t="s">
        <v>1112</v>
      </c>
      <c r="B413" t="s">
        <v>59</v>
      </c>
      <c r="C413">
        <v>2006</v>
      </c>
      <c r="D413" t="s">
        <v>36</v>
      </c>
      <c r="E413" t="s">
        <v>45</v>
      </c>
      <c r="F413" t="s">
        <v>1113</v>
      </c>
      <c r="G413">
        <v>740</v>
      </c>
      <c r="H413" t="s">
        <v>20</v>
      </c>
      <c r="I413" t="s">
        <v>21</v>
      </c>
      <c r="J413" t="s">
        <v>31</v>
      </c>
      <c r="K413" s="4">
        <v>110.73</v>
      </c>
      <c r="L413" t="s">
        <v>1114</v>
      </c>
      <c r="M413" s="1">
        <v>46713</v>
      </c>
      <c r="N413" t="s">
        <v>24</v>
      </c>
      <c r="O413" t="s">
        <v>33</v>
      </c>
    </row>
    <row r="414" spans="1:15" x14ac:dyDescent="0.25">
      <c r="A414" t="s">
        <v>1115</v>
      </c>
      <c r="B414" t="s">
        <v>70</v>
      </c>
      <c r="C414">
        <v>2014</v>
      </c>
      <c r="D414" t="s">
        <v>83</v>
      </c>
      <c r="E414" t="s">
        <v>60</v>
      </c>
      <c r="F414" t="s">
        <v>1055</v>
      </c>
      <c r="G414">
        <v>260</v>
      </c>
      <c r="H414" t="s">
        <v>56</v>
      </c>
      <c r="I414" t="s">
        <v>86</v>
      </c>
      <c r="J414" t="s">
        <v>31</v>
      </c>
      <c r="K414" s="4">
        <v>486.14</v>
      </c>
      <c r="L414" t="s">
        <v>1116</v>
      </c>
      <c r="M414" s="1">
        <v>46002</v>
      </c>
      <c r="N414" t="s">
        <v>24</v>
      </c>
      <c r="O414" t="s">
        <v>33</v>
      </c>
    </row>
    <row r="415" spans="1:15" x14ac:dyDescent="0.25">
      <c r="A415" t="s">
        <v>1117</v>
      </c>
      <c r="B415" t="s">
        <v>16</v>
      </c>
      <c r="C415">
        <v>2016</v>
      </c>
      <c r="D415" t="s">
        <v>89</v>
      </c>
      <c r="E415" t="s">
        <v>119</v>
      </c>
      <c r="F415" t="s">
        <v>1118</v>
      </c>
      <c r="G415">
        <v>200</v>
      </c>
      <c r="H415" t="s">
        <v>56</v>
      </c>
      <c r="I415" t="s">
        <v>86</v>
      </c>
      <c r="J415" t="s">
        <v>22</v>
      </c>
      <c r="K415" s="4">
        <v>34.229999999999997</v>
      </c>
      <c r="L415" t="s">
        <v>1119</v>
      </c>
      <c r="M415" s="1">
        <v>46139</v>
      </c>
      <c r="N415" t="s">
        <v>75</v>
      </c>
      <c r="O415" t="s">
        <v>25</v>
      </c>
    </row>
    <row r="416" spans="1:15" x14ac:dyDescent="0.25">
      <c r="A416" t="s">
        <v>1120</v>
      </c>
      <c r="B416" t="s">
        <v>16</v>
      </c>
      <c r="C416">
        <v>1998</v>
      </c>
      <c r="D416" t="s">
        <v>17</v>
      </c>
      <c r="E416" t="s">
        <v>119</v>
      </c>
      <c r="F416" t="s">
        <v>195</v>
      </c>
      <c r="G416">
        <v>870</v>
      </c>
      <c r="H416" t="s">
        <v>29</v>
      </c>
      <c r="I416" t="s">
        <v>48</v>
      </c>
      <c r="J416" t="s">
        <v>49</v>
      </c>
      <c r="K416" s="4">
        <v>191.96</v>
      </c>
      <c r="L416" t="s">
        <v>1121</v>
      </c>
      <c r="M416" s="1">
        <v>46871</v>
      </c>
      <c r="N416" t="s">
        <v>24</v>
      </c>
      <c r="O416" t="s">
        <v>33</v>
      </c>
    </row>
    <row r="417" spans="1:15" x14ac:dyDescent="0.25">
      <c r="A417" t="s">
        <v>1122</v>
      </c>
      <c r="B417" t="s">
        <v>138</v>
      </c>
      <c r="C417">
        <v>2020</v>
      </c>
      <c r="D417" t="s">
        <v>71</v>
      </c>
      <c r="E417" t="s">
        <v>60</v>
      </c>
      <c r="F417" t="s">
        <v>470</v>
      </c>
      <c r="G417">
        <v>10</v>
      </c>
      <c r="H417" t="s">
        <v>38</v>
      </c>
      <c r="I417" t="s">
        <v>91</v>
      </c>
      <c r="J417" t="s">
        <v>63</v>
      </c>
      <c r="K417" s="4">
        <v>357.2</v>
      </c>
      <c r="L417" t="s">
        <v>1123</v>
      </c>
      <c r="M417" s="1">
        <v>46225</v>
      </c>
      <c r="N417" t="s">
        <v>75</v>
      </c>
      <c r="O417" t="s">
        <v>25</v>
      </c>
    </row>
    <row r="418" spans="1:15" x14ac:dyDescent="0.25">
      <c r="A418" t="s">
        <v>1124</v>
      </c>
      <c r="B418" t="s">
        <v>98</v>
      </c>
      <c r="C418">
        <v>2003</v>
      </c>
      <c r="D418" t="s">
        <v>36</v>
      </c>
      <c r="E418" t="s">
        <v>45</v>
      </c>
      <c r="F418" t="s">
        <v>214</v>
      </c>
      <c r="G418">
        <v>820</v>
      </c>
      <c r="H418" t="s">
        <v>47</v>
      </c>
      <c r="I418" t="s">
        <v>39</v>
      </c>
      <c r="J418" t="s">
        <v>110</v>
      </c>
      <c r="K418" s="4">
        <v>428.12</v>
      </c>
      <c r="L418" t="s">
        <v>1125</v>
      </c>
      <c r="M418" s="1">
        <v>46676</v>
      </c>
      <c r="N418" t="s">
        <v>24</v>
      </c>
      <c r="O418" t="s">
        <v>25</v>
      </c>
    </row>
    <row r="419" spans="1:15" x14ac:dyDescent="0.25">
      <c r="A419" t="s">
        <v>1126</v>
      </c>
      <c r="B419" t="s">
        <v>70</v>
      </c>
      <c r="C419">
        <v>1991</v>
      </c>
      <c r="D419" t="s">
        <v>17</v>
      </c>
      <c r="E419" t="s">
        <v>78</v>
      </c>
      <c r="F419" t="s">
        <v>308</v>
      </c>
      <c r="G419">
        <v>560</v>
      </c>
      <c r="H419" t="s">
        <v>20</v>
      </c>
      <c r="I419" t="s">
        <v>73</v>
      </c>
      <c r="J419" t="s">
        <v>22</v>
      </c>
      <c r="K419" s="4">
        <v>279.39999999999998</v>
      </c>
      <c r="L419" t="s">
        <v>1127</v>
      </c>
      <c r="M419" s="1">
        <v>46758</v>
      </c>
      <c r="N419" t="s">
        <v>41</v>
      </c>
      <c r="O419" t="s">
        <v>25</v>
      </c>
    </row>
    <row r="420" spans="1:15" x14ac:dyDescent="0.25">
      <c r="A420" t="s">
        <v>1128</v>
      </c>
      <c r="B420" t="s">
        <v>138</v>
      </c>
      <c r="C420">
        <v>2016</v>
      </c>
      <c r="D420" t="s">
        <v>17</v>
      </c>
      <c r="E420" t="s">
        <v>78</v>
      </c>
      <c r="F420" t="s">
        <v>208</v>
      </c>
      <c r="G420">
        <v>770</v>
      </c>
      <c r="H420" t="s">
        <v>47</v>
      </c>
      <c r="I420" t="s">
        <v>30</v>
      </c>
      <c r="J420" t="s">
        <v>49</v>
      </c>
      <c r="K420" s="4">
        <v>298.91000000000003</v>
      </c>
      <c r="L420" t="s">
        <v>1129</v>
      </c>
      <c r="M420" s="1">
        <v>46233</v>
      </c>
      <c r="N420" t="s">
        <v>75</v>
      </c>
      <c r="O420" t="s">
        <v>33</v>
      </c>
    </row>
    <row r="421" spans="1:15" x14ac:dyDescent="0.25">
      <c r="A421" t="s">
        <v>1130</v>
      </c>
      <c r="B421" t="s">
        <v>138</v>
      </c>
      <c r="C421">
        <v>2002</v>
      </c>
      <c r="D421" t="s">
        <v>95</v>
      </c>
      <c r="E421" t="s">
        <v>54</v>
      </c>
      <c r="F421" t="s">
        <v>1131</v>
      </c>
      <c r="G421">
        <v>720</v>
      </c>
      <c r="H421" t="s">
        <v>29</v>
      </c>
      <c r="I421" t="s">
        <v>186</v>
      </c>
      <c r="J421" t="s">
        <v>22</v>
      </c>
      <c r="K421" s="4">
        <v>1.21</v>
      </c>
      <c r="L421" t="s">
        <v>1132</v>
      </c>
      <c r="M421" s="1">
        <v>46369</v>
      </c>
      <c r="N421" t="s">
        <v>75</v>
      </c>
      <c r="O421" t="s">
        <v>51</v>
      </c>
    </row>
    <row r="422" spans="1:15" x14ac:dyDescent="0.25">
      <c r="A422" t="s">
        <v>1133</v>
      </c>
      <c r="B422" t="s">
        <v>70</v>
      </c>
      <c r="C422">
        <v>2016</v>
      </c>
      <c r="D422" t="s">
        <v>36</v>
      </c>
      <c r="E422" t="s">
        <v>104</v>
      </c>
      <c r="F422" t="s">
        <v>946</v>
      </c>
      <c r="G422">
        <v>970</v>
      </c>
      <c r="H422" t="s">
        <v>38</v>
      </c>
      <c r="I422" t="s">
        <v>21</v>
      </c>
      <c r="J422" t="s">
        <v>110</v>
      </c>
      <c r="K422" s="4">
        <v>102.64</v>
      </c>
      <c r="L422" t="s">
        <v>1134</v>
      </c>
      <c r="M422" s="1">
        <v>46254</v>
      </c>
      <c r="N422" t="s">
        <v>41</v>
      </c>
      <c r="O422" t="s">
        <v>33</v>
      </c>
    </row>
    <row r="423" spans="1:15" x14ac:dyDescent="0.25">
      <c r="A423" t="s">
        <v>1135</v>
      </c>
      <c r="B423" t="s">
        <v>35</v>
      </c>
      <c r="C423">
        <v>2004</v>
      </c>
      <c r="D423" t="s">
        <v>95</v>
      </c>
      <c r="E423" t="s">
        <v>116</v>
      </c>
      <c r="F423" t="s">
        <v>722</v>
      </c>
      <c r="G423">
        <v>950</v>
      </c>
      <c r="H423" t="s">
        <v>38</v>
      </c>
      <c r="I423" t="s">
        <v>80</v>
      </c>
      <c r="J423" t="s">
        <v>146</v>
      </c>
      <c r="K423" s="4">
        <v>456.92</v>
      </c>
      <c r="L423" t="s">
        <v>1136</v>
      </c>
      <c r="M423" s="1">
        <v>46313</v>
      </c>
      <c r="N423" t="s">
        <v>41</v>
      </c>
      <c r="O423" t="s">
        <v>25</v>
      </c>
    </row>
    <row r="424" spans="1:15" x14ac:dyDescent="0.25">
      <c r="A424" t="s">
        <v>1137</v>
      </c>
      <c r="B424" t="s">
        <v>43</v>
      </c>
      <c r="C424">
        <v>2009</v>
      </c>
      <c r="D424" t="s">
        <v>27</v>
      </c>
      <c r="E424" t="s">
        <v>104</v>
      </c>
      <c r="F424" t="s">
        <v>79</v>
      </c>
      <c r="G424">
        <v>820</v>
      </c>
      <c r="H424" t="s">
        <v>85</v>
      </c>
      <c r="I424" t="s">
        <v>186</v>
      </c>
      <c r="J424" t="s">
        <v>31</v>
      </c>
      <c r="K424" s="4">
        <v>258.14999999999998</v>
      </c>
      <c r="L424" t="s">
        <v>1138</v>
      </c>
      <c r="M424" s="1">
        <v>46263</v>
      </c>
      <c r="N424" t="s">
        <v>75</v>
      </c>
      <c r="O424" t="s">
        <v>51</v>
      </c>
    </row>
    <row r="425" spans="1:15" x14ac:dyDescent="0.25">
      <c r="A425" t="s">
        <v>1139</v>
      </c>
      <c r="B425" t="s">
        <v>16</v>
      </c>
      <c r="C425">
        <v>1993</v>
      </c>
      <c r="D425" t="s">
        <v>44</v>
      </c>
      <c r="E425" t="s">
        <v>119</v>
      </c>
      <c r="F425" t="s">
        <v>142</v>
      </c>
      <c r="G425">
        <v>940</v>
      </c>
      <c r="H425" t="s">
        <v>85</v>
      </c>
      <c r="I425" t="s">
        <v>91</v>
      </c>
      <c r="J425" t="s">
        <v>63</v>
      </c>
      <c r="K425" s="4">
        <v>389.03</v>
      </c>
      <c r="L425" t="s">
        <v>1140</v>
      </c>
      <c r="M425" s="1">
        <v>46560</v>
      </c>
      <c r="N425" t="s">
        <v>24</v>
      </c>
      <c r="O425" t="s">
        <v>51</v>
      </c>
    </row>
    <row r="426" spans="1:15" x14ac:dyDescent="0.25">
      <c r="A426" t="s">
        <v>1141</v>
      </c>
      <c r="B426" t="s">
        <v>59</v>
      </c>
      <c r="C426">
        <v>2009</v>
      </c>
      <c r="D426" t="s">
        <v>27</v>
      </c>
      <c r="E426" t="s">
        <v>116</v>
      </c>
      <c r="F426" t="s">
        <v>145</v>
      </c>
      <c r="G426">
        <v>280</v>
      </c>
      <c r="H426" t="s">
        <v>38</v>
      </c>
      <c r="I426" t="s">
        <v>73</v>
      </c>
      <c r="J426" t="s">
        <v>22</v>
      </c>
      <c r="K426" s="4">
        <v>115.38</v>
      </c>
      <c r="L426" t="s">
        <v>1142</v>
      </c>
      <c r="M426" s="1">
        <v>46707</v>
      </c>
      <c r="N426" t="s">
        <v>75</v>
      </c>
      <c r="O426" t="s">
        <v>33</v>
      </c>
    </row>
    <row r="427" spans="1:15" x14ac:dyDescent="0.25">
      <c r="A427" t="s">
        <v>1143</v>
      </c>
      <c r="B427" t="s">
        <v>53</v>
      </c>
      <c r="C427">
        <v>2006</v>
      </c>
      <c r="D427" t="s">
        <v>17</v>
      </c>
      <c r="E427" t="s">
        <v>18</v>
      </c>
      <c r="F427" t="s">
        <v>1144</v>
      </c>
      <c r="G427">
        <v>780</v>
      </c>
      <c r="H427" t="s">
        <v>56</v>
      </c>
      <c r="I427" t="s">
        <v>186</v>
      </c>
      <c r="J427" t="s">
        <v>110</v>
      </c>
      <c r="K427" s="4">
        <v>121.61</v>
      </c>
      <c r="L427" t="s">
        <v>1145</v>
      </c>
      <c r="M427" s="1">
        <v>46953</v>
      </c>
      <c r="N427" t="s">
        <v>24</v>
      </c>
      <c r="O427" t="s">
        <v>25</v>
      </c>
    </row>
    <row r="428" spans="1:15" x14ac:dyDescent="0.25">
      <c r="A428" t="s">
        <v>1146</v>
      </c>
      <c r="B428" t="s">
        <v>53</v>
      </c>
      <c r="C428">
        <v>2010</v>
      </c>
      <c r="D428" t="s">
        <v>27</v>
      </c>
      <c r="E428" t="s">
        <v>18</v>
      </c>
      <c r="F428" t="s">
        <v>250</v>
      </c>
      <c r="G428">
        <v>710</v>
      </c>
      <c r="H428" t="s">
        <v>20</v>
      </c>
      <c r="I428" t="s">
        <v>73</v>
      </c>
      <c r="J428" t="s">
        <v>146</v>
      </c>
      <c r="K428" s="4">
        <v>17.899999999999999</v>
      </c>
      <c r="L428" t="s">
        <v>1147</v>
      </c>
      <c r="M428" s="1">
        <v>46567</v>
      </c>
      <c r="N428" t="s">
        <v>41</v>
      </c>
      <c r="O428" t="s">
        <v>51</v>
      </c>
    </row>
    <row r="429" spans="1:15" x14ac:dyDescent="0.25">
      <c r="A429" t="s">
        <v>1148</v>
      </c>
      <c r="B429" t="s">
        <v>138</v>
      </c>
      <c r="C429">
        <v>1996</v>
      </c>
      <c r="D429" t="s">
        <v>83</v>
      </c>
      <c r="E429" t="s">
        <v>78</v>
      </c>
      <c r="F429" t="s">
        <v>79</v>
      </c>
      <c r="G429">
        <v>120</v>
      </c>
      <c r="H429" t="s">
        <v>56</v>
      </c>
      <c r="I429" t="s">
        <v>91</v>
      </c>
      <c r="J429" t="s">
        <v>110</v>
      </c>
      <c r="K429" s="4">
        <v>397.64</v>
      </c>
      <c r="L429" t="s">
        <v>1149</v>
      </c>
      <c r="M429" s="1">
        <v>46636</v>
      </c>
      <c r="N429" t="s">
        <v>41</v>
      </c>
      <c r="O429" t="s">
        <v>51</v>
      </c>
    </row>
    <row r="430" spans="1:15" x14ac:dyDescent="0.25">
      <c r="A430" t="s">
        <v>1150</v>
      </c>
      <c r="B430" t="s">
        <v>77</v>
      </c>
      <c r="C430">
        <v>1996</v>
      </c>
      <c r="D430" t="s">
        <v>95</v>
      </c>
      <c r="E430" t="s">
        <v>60</v>
      </c>
      <c r="F430" t="s">
        <v>180</v>
      </c>
      <c r="G430">
        <v>980</v>
      </c>
      <c r="H430" t="s">
        <v>47</v>
      </c>
      <c r="I430" t="s">
        <v>186</v>
      </c>
      <c r="J430" t="s">
        <v>121</v>
      </c>
      <c r="K430" s="4">
        <v>357.22</v>
      </c>
      <c r="L430" t="s">
        <v>1151</v>
      </c>
      <c r="M430" s="1">
        <v>46050</v>
      </c>
      <c r="N430" t="s">
        <v>41</v>
      </c>
      <c r="O430" t="s">
        <v>33</v>
      </c>
    </row>
    <row r="431" spans="1:15" x14ac:dyDescent="0.25">
      <c r="A431" t="s">
        <v>1152</v>
      </c>
      <c r="B431" t="s">
        <v>59</v>
      </c>
      <c r="C431">
        <v>2005</v>
      </c>
      <c r="D431" t="s">
        <v>36</v>
      </c>
      <c r="E431" t="s">
        <v>72</v>
      </c>
      <c r="F431" t="s">
        <v>1153</v>
      </c>
      <c r="G431">
        <v>880</v>
      </c>
      <c r="H431" t="s">
        <v>20</v>
      </c>
      <c r="I431" t="s">
        <v>39</v>
      </c>
      <c r="J431" t="s">
        <v>110</v>
      </c>
      <c r="K431" s="4">
        <v>119.14</v>
      </c>
      <c r="L431" t="s">
        <v>1154</v>
      </c>
      <c r="M431" s="1">
        <v>45985</v>
      </c>
      <c r="N431" t="s">
        <v>75</v>
      </c>
      <c r="O431" t="s">
        <v>51</v>
      </c>
    </row>
    <row r="432" spans="1:15" x14ac:dyDescent="0.25">
      <c r="A432" t="s">
        <v>1155</v>
      </c>
      <c r="B432" t="s">
        <v>70</v>
      </c>
      <c r="C432">
        <v>2018</v>
      </c>
      <c r="D432" t="s">
        <v>108</v>
      </c>
      <c r="E432" t="s">
        <v>18</v>
      </c>
      <c r="F432" t="s">
        <v>1156</v>
      </c>
      <c r="G432">
        <v>940</v>
      </c>
      <c r="H432" t="s">
        <v>62</v>
      </c>
      <c r="I432" t="s">
        <v>91</v>
      </c>
      <c r="J432" t="s">
        <v>22</v>
      </c>
      <c r="K432" s="4">
        <v>442.52</v>
      </c>
      <c r="L432" t="s">
        <v>1157</v>
      </c>
      <c r="M432" s="1">
        <v>46785</v>
      </c>
      <c r="N432" t="s">
        <v>24</v>
      </c>
      <c r="O432" t="s">
        <v>33</v>
      </c>
    </row>
    <row r="433" spans="1:15" x14ac:dyDescent="0.25">
      <c r="A433" t="s">
        <v>1158</v>
      </c>
      <c r="B433" t="s">
        <v>43</v>
      </c>
      <c r="C433">
        <v>2001</v>
      </c>
      <c r="D433" t="s">
        <v>27</v>
      </c>
      <c r="E433" t="s">
        <v>60</v>
      </c>
      <c r="F433" t="s">
        <v>439</v>
      </c>
      <c r="G433">
        <v>210</v>
      </c>
      <c r="H433" t="s">
        <v>20</v>
      </c>
      <c r="I433" t="s">
        <v>39</v>
      </c>
      <c r="J433" t="s">
        <v>31</v>
      </c>
      <c r="K433" s="4">
        <v>415.09</v>
      </c>
      <c r="L433" t="s">
        <v>1159</v>
      </c>
      <c r="M433" s="1">
        <v>46549</v>
      </c>
      <c r="N433" t="s">
        <v>41</v>
      </c>
      <c r="O433" t="s">
        <v>51</v>
      </c>
    </row>
    <row r="434" spans="1:15" x14ac:dyDescent="0.25">
      <c r="A434" t="s">
        <v>1160</v>
      </c>
      <c r="B434" t="s">
        <v>43</v>
      </c>
      <c r="C434">
        <v>2021</v>
      </c>
      <c r="D434" t="s">
        <v>83</v>
      </c>
      <c r="E434" t="s">
        <v>99</v>
      </c>
      <c r="F434" t="s">
        <v>162</v>
      </c>
      <c r="G434">
        <v>200</v>
      </c>
      <c r="H434" t="s">
        <v>20</v>
      </c>
      <c r="I434" t="s">
        <v>39</v>
      </c>
      <c r="J434" t="s">
        <v>63</v>
      </c>
      <c r="K434" s="4">
        <v>216.42</v>
      </c>
      <c r="L434" t="s">
        <v>1161</v>
      </c>
      <c r="M434" s="1">
        <v>46275</v>
      </c>
      <c r="N434" t="s">
        <v>41</v>
      </c>
      <c r="O434" t="s">
        <v>51</v>
      </c>
    </row>
    <row r="435" spans="1:15" x14ac:dyDescent="0.25">
      <c r="A435" t="s">
        <v>1162</v>
      </c>
      <c r="B435" t="s">
        <v>134</v>
      </c>
      <c r="C435">
        <v>2023</v>
      </c>
      <c r="D435" t="s">
        <v>44</v>
      </c>
      <c r="E435" t="s">
        <v>104</v>
      </c>
      <c r="F435" t="s">
        <v>1163</v>
      </c>
      <c r="G435">
        <v>580</v>
      </c>
      <c r="H435" t="s">
        <v>47</v>
      </c>
      <c r="I435" t="s">
        <v>151</v>
      </c>
      <c r="J435" t="s">
        <v>92</v>
      </c>
      <c r="K435" s="4">
        <v>51.17</v>
      </c>
      <c r="L435" t="s">
        <v>1164</v>
      </c>
      <c r="M435" s="1">
        <v>46010</v>
      </c>
      <c r="N435" t="s">
        <v>75</v>
      </c>
      <c r="O435" t="s">
        <v>33</v>
      </c>
    </row>
    <row r="436" spans="1:15" x14ac:dyDescent="0.25">
      <c r="A436" t="s">
        <v>1165</v>
      </c>
      <c r="B436" t="s">
        <v>134</v>
      </c>
      <c r="C436">
        <v>1992</v>
      </c>
      <c r="D436" t="s">
        <v>89</v>
      </c>
      <c r="E436" t="s">
        <v>104</v>
      </c>
      <c r="F436" t="s">
        <v>625</v>
      </c>
      <c r="G436">
        <v>340</v>
      </c>
      <c r="H436" t="s">
        <v>56</v>
      </c>
      <c r="I436" t="s">
        <v>21</v>
      </c>
      <c r="J436" t="s">
        <v>146</v>
      </c>
      <c r="K436" s="4">
        <v>194.32</v>
      </c>
      <c r="L436" t="s">
        <v>1166</v>
      </c>
      <c r="M436" s="1">
        <v>46838</v>
      </c>
      <c r="N436" t="s">
        <v>41</v>
      </c>
      <c r="O436" t="s">
        <v>25</v>
      </c>
    </row>
    <row r="437" spans="1:15" x14ac:dyDescent="0.25">
      <c r="A437" t="s">
        <v>1167</v>
      </c>
      <c r="B437" t="s">
        <v>77</v>
      </c>
      <c r="C437">
        <v>2017</v>
      </c>
      <c r="D437" t="s">
        <v>66</v>
      </c>
      <c r="E437" t="s">
        <v>78</v>
      </c>
      <c r="F437" t="s">
        <v>825</v>
      </c>
      <c r="G437">
        <v>710</v>
      </c>
      <c r="H437" t="s">
        <v>62</v>
      </c>
      <c r="I437" t="s">
        <v>91</v>
      </c>
      <c r="J437" t="s">
        <v>31</v>
      </c>
      <c r="K437" s="4">
        <v>60.89</v>
      </c>
      <c r="L437" t="s">
        <v>1168</v>
      </c>
      <c r="M437" s="1">
        <v>46586</v>
      </c>
      <c r="N437" t="s">
        <v>24</v>
      </c>
      <c r="O437" t="s">
        <v>33</v>
      </c>
    </row>
    <row r="438" spans="1:15" x14ac:dyDescent="0.25">
      <c r="A438" t="s">
        <v>1169</v>
      </c>
      <c r="B438" t="s">
        <v>35</v>
      </c>
      <c r="C438">
        <v>2008</v>
      </c>
      <c r="D438" t="s">
        <v>36</v>
      </c>
      <c r="E438" t="s">
        <v>119</v>
      </c>
      <c r="F438" t="s">
        <v>1170</v>
      </c>
      <c r="G438">
        <v>870</v>
      </c>
      <c r="H438" t="s">
        <v>62</v>
      </c>
      <c r="I438" t="s">
        <v>91</v>
      </c>
      <c r="J438" t="s">
        <v>101</v>
      </c>
      <c r="K438" s="4">
        <v>278.35000000000002</v>
      </c>
      <c r="L438" t="s">
        <v>1171</v>
      </c>
      <c r="M438" s="1">
        <v>46522</v>
      </c>
      <c r="N438" t="s">
        <v>24</v>
      </c>
      <c r="O438" t="s">
        <v>25</v>
      </c>
    </row>
    <row r="439" spans="1:15" x14ac:dyDescent="0.25">
      <c r="A439" t="s">
        <v>1172</v>
      </c>
      <c r="B439" t="s">
        <v>134</v>
      </c>
      <c r="C439">
        <v>2022</v>
      </c>
      <c r="D439" t="s">
        <v>17</v>
      </c>
      <c r="E439" t="s">
        <v>119</v>
      </c>
      <c r="F439" t="s">
        <v>208</v>
      </c>
      <c r="G439">
        <v>470</v>
      </c>
      <c r="H439" t="s">
        <v>85</v>
      </c>
      <c r="I439" t="s">
        <v>48</v>
      </c>
      <c r="J439" t="s">
        <v>92</v>
      </c>
      <c r="K439" s="4">
        <v>63.77</v>
      </c>
      <c r="L439" t="s">
        <v>1173</v>
      </c>
      <c r="M439" s="1">
        <v>46221</v>
      </c>
      <c r="N439" t="s">
        <v>75</v>
      </c>
      <c r="O439" t="s">
        <v>51</v>
      </c>
    </row>
    <row r="440" spans="1:15" x14ac:dyDescent="0.25">
      <c r="A440" t="s">
        <v>1174</v>
      </c>
      <c r="B440" t="s">
        <v>70</v>
      </c>
      <c r="C440">
        <v>2020</v>
      </c>
      <c r="D440" t="s">
        <v>108</v>
      </c>
      <c r="E440" t="s">
        <v>45</v>
      </c>
      <c r="F440" t="s">
        <v>527</v>
      </c>
      <c r="G440">
        <v>780</v>
      </c>
      <c r="H440" t="s">
        <v>20</v>
      </c>
      <c r="I440" t="s">
        <v>21</v>
      </c>
      <c r="J440" t="s">
        <v>110</v>
      </c>
      <c r="K440" s="4">
        <v>180.95</v>
      </c>
      <c r="L440" t="s">
        <v>1175</v>
      </c>
      <c r="M440" s="1">
        <v>46449</v>
      </c>
      <c r="N440" t="s">
        <v>75</v>
      </c>
      <c r="O440" t="s">
        <v>51</v>
      </c>
    </row>
    <row r="441" spans="1:15" x14ac:dyDescent="0.25">
      <c r="A441" t="s">
        <v>1176</v>
      </c>
      <c r="B441" t="s">
        <v>77</v>
      </c>
      <c r="C441">
        <v>2011</v>
      </c>
      <c r="D441" t="s">
        <v>17</v>
      </c>
      <c r="E441" t="s">
        <v>78</v>
      </c>
      <c r="F441" t="s">
        <v>901</v>
      </c>
      <c r="G441">
        <v>460</v>
      </c>
      <c r="H441" t="s">
        <v>47</v>
      </c>
      <c r="I441" t="s">
        <v>73</v>
      </c>
      <c r="J441" t="s">
        <v>31</v>
      </c>
      <c r="K441" s="4">
        <v>341.6</v>
      </c>
      <c r="L441" t="s">
        <v>1177</v>
      </c>
      <c r="M441" s="1">
        <v>46748</v>
      </c>
      <c r="N441" t="s">
        <v>75</v>
      </c>
      <c r="O441" t="s">
        <v>51</v>
      </c>
    </row>
    <row r="442" spans="1:15" x14ac:dyDescent="0.25">
      <c r="A442" t="s">
        <v>1178</v>
      </c>
      <c r="B442" t="s">
        <v>98</v>
      </c>
      <c r="C442">
        <v>2021</v>
      </c>
      <c r="D442" t="s">
        <v>17</v>
      </c>
      <c r="E442" t="s">
        <v>45</v>
      </c>
      <c r="F442" t="s">
        <v>139</v>
      </c>
      <c r="G442">
        <v>830</v>
      </c>
      <c r="H442" t="s">
        <v>56</v>
      </c>
      <c r="I442" t="s">
        <v>80</v>
      </c>
      <c r="J442" t="s">
        <v>146</v>
      </c>
      <c r="K442" s="4">
        <v>390.05</v>
      </c>
      <c r="L442" t="s">
        <v>1179</v>
      </c>
      <c r="M442" s="1">
        <v>46046</v>
      </c>
      <c r="N442" t="s">
        <v>24</v>
      </c>
      <c r="O442" t="s">
        <v>51</v>
      </c>
    </row>
    <row r="443" spans="1:15" x14ac:dyDescent="0.25">
      <c r="A443" t="s">
        <v>385</v>
      </c>
      <c r="B443" t="s">
        <v>98</v>
      </c>
      <c r="C443">
        <v>2014</v>
      </c>
      <c r="D443" t="s">
        <v>66</v>
      </c>
      <c r="E443" t="s">
        <v>18</v>
      </c>
      <c r="F443" t="s">
        <v>1180</v>
      </c>
      <c r="G443">
        <v>890</v>
      </c>
      <c r="H443" t="s">
        <v>20</v>
      </c>
      <c r="I443" t="s">
        <v>80</v>
      </c>
      <c r="J443" t="s">
        <v>125</v>
      </c>
      <c r="K443" s="4">
        <v>59.43</v>
      </c>
      <c r="L443" t="s">
        <v>1181</v>
      </c>
      <c r="M443" s="1">
        <v>46629</v>
      </c>
      <c r="N443" t="s">
        <v>75</v>
      </c>
      <c r="O443" t="s">
        <v>25</v>
      </c>
    </row>
    <row r="444" spans="1:15" x14ac:dyDescent="0.25">
      <c r="A444" t="s">
        <v>1182</v>
      </c>
      <c r="B444" t="s">
        <v>35</v>
      </c>
      <c r="C444">
        <v>1999</v>
      </c>
      <c r="D444" t="s">
        <v>95</v>
      </c>
      <c r="E444" t="s">
        <v>54</v>
      </c>
      <c r="F444" t="s">
        <v>496</v>
      </c>
      <c r="G444">
        <v>530</v>
      </c>
      <c r="H444" t="s">
        <v>62</v>
      </c>
      <c r="I444" t="s">
        <v>30</v>
      </c>
      <c r="J444" t="s">
        <v>63</v>
      </c>
      <c r="K444" s="4">
        <v>221.68</v>
      </c>
      <c r="L444" t="s">
        <v>1183</v>
      </c>
      <c r="M444" s="1">
        <v>46035</v>
      </c>
      <c r="N444" t="s">
        <v>24</v>
      </c>
      <c r="O444" t="s">
        <v>33</v>
      </c>
    </row>
    <row r="445" spans="1:15" x14ac:dyDescent="0.25">
      <c r="A445" t="s">
        <v>1184</v>
      </c>
      <c r="B445" t="s">
        <v>134</v>
      </c>
      <c r="C445">
        <v>2002</v>
      </c>
      <c r="D445" t="s">
        <v>89</v>
      </c>
      <c r="E445" t="s">
        <v>99</v>
      </c>
      <c r="F445" t="s">
        <v>124</v>
      </c>
      <c r="G445">
        <v>240</v>
      </c>
      <c r="H445" t="s">
        <v>38</v>
      </c>
      <c r="I445" t="s">
        <v>73</v>
      </c>
      <c r="J445" t="s">
        <v>125</v>
      </c>
      <c r="K445" s="4">
        <v>467.87</v>
      </c>
      <c r="L445" t="s">
        <v>1185</v>
      </c>
      <c r="M445" s="1">
        <v>45890</v>
      </c>
      <c r="N445" t="s">
        <v>24</v>
      </c>
      <c r="O445" t="s">
        <v>25</v>
      </c>
    </row>
    <row r="446" spans="1:15" x14ac:dyDescent="0.25">
      <c r="A446" t="s">
        <v>1186</v>
      </c>
      <c r="B446" t="s">
        <v>77</v>
      </c>
      <c r="C446">
        <v>1999</v>
      </c>
      <c r="D446" t="s">
        <v>89</v>
      </c>
      <c r="E446" t="s">
        <v>72</v>
      </c>
      <c r="F446" t="s">
        <v>929</v>
      </c>
      <c r="G446">
        <v>240</v>
      </c>
      <c r="H446" t="s">
        <v>29</v>
      </c>
      <c r="I446" t="s">
        <v>30</v>
      </c>
      <c r="J446" t="s">
        <v>110</v>
      </c>
      <c r="K446" s="4">
        <v>431.78</v>
      </c>
      <c r="L446" t="s">
        <v>1187</v>
      </c>
      <c r="M446" s="1">
        <v>46629</v>
      </c>
      <c r="N446" t="s">
        <v>41</v>
      </c>
      <c r="O446" t="s">
        <v>25</v>
      </c>
    </row>
    <row r="447" spans="1:15" x14ac:dyDescent="0.25">
      <c r="A447" t="s">
        <v>1188</v>
      </c>
      <c r="B447" t="s">
        <v>77</v>
      </c>
      <c r="C447">
        <v>2002</v>
      </c>
      <c r="D447" t="s">
        <v>27</v>
      </c>
      <c r="E447" t="s">
        <v>78</v>
      </c>
      <c r="F447" t="s">
        <v>1189</v>
      </c>
      <c r="G447">
        <v>830</v>
      </c>
      <c r="H447" t="s">
        <v>29</v>
      </c>
      <c r="I447" t="s">
        <v>151</v>
      </c>
      <c r="J447" t="s">
        <v>31</v>
      </c>
      <c r="K447" s="4">
        <v>131.26</v>
      </c>
      <c r="L447" t="s">
        <v>1190</v>
      </c>
      <c r="M447" s="1">
        <v>46080</v>
      </c>
      <c r="N447" t="s">
        <v>75</v>
      </c>
      <c r="O447" t="s">
        <v>51</v>
      </c>
    </row>
    <row r="448" spans="1:15" x14ac:dyDescent="0.25">
      <c r="A448" t="s">
        <v>1191</v>
      </c>
      <c r="B448" t="s">
        <v>59</v>
      </c>
      <c r="C448">
        <v>2014</v>
      </c>
      <c r="D448" t="s">
        <v>89</v>
      </c>
      <c r="E448" t="s">
        <v>60</v>
      </c>
      <c r="F448" t="s">
        <v>851</v>
      </c>
      <c r="G448">
        <v>280</v>
      </c>
      <c r="H448" t="s">
        <v>85</v>
      </c>
      <c r="I448" t="s">
        <v>21</v>
      </c>
      <c r="J448" t="s">
        <v>49</v>
      </c>
      <c r="K448" s="4">
        <v>489.32</v>
      </c>
      <c r="L448" t="s">
        <v>1192</v>
      </c>
      <c r="M448" s="1">
        <v>46533</v>
      </c>
      <c r="N448" t="s">
        <v>24</v>
      </c>
      <c r="O448" t="s">
        <v>33</v>
      </c>
    </row>
    <row r="449" spans="1:15" x14ac:dyDescent="0.25">
      <c r="A449" t="s">
        <v>1193</v>
      </c>
      <c r="B449" t="s">
        <v>53</v>
      </c>
      <c r="C449">
        <v>1991</v>
      </c>
      <c r="D449" t="s">
        <v>71</v>
      </c>
      <c r="E449" t="s">
        <v>18</v>
      </c>
      <c r="F449" t="s">
        <v>1194</v>
      </c>
      <c r="G449">
        <v>810</v>
      </c>
      <c r="H449" t="s">
        <v>38</v>
      </c>
      <c r="I449" t="s">
        <v>21</v>
      </c>
      <c r="J449" t="s">
        <v>101</v>
      </c>
      <c r="K449" s="4">
        <v>455.06</v>
      </c>
      <c r="L449" t="s">
        <v>1195</v>
      </c>
      <c r="M449" s="1">
        <v>46098</v>
      </c>
      <c r="N449" t="s">
        <v>75</v>
      </c>
      <c r="O449" t="s">
        <v>51</v>
      </c>
    </row>
    <row r="450" spans="1:15" x14ac:dyDescent="0.25">
      <c r="A450" t="s">
        <v>1196</v>
      </c>
      <c r="B450" t="s">
        <v>16</v>
      </c>
      <c r="C450">
        <v>2004</v>
      </c>
      <c r="D450" t="s">
        <v>66</v>
      </c>
      <c r="E450" t="s">
        <v>119</v>
      </c>
      <c r="F450" t="s">
        <v>220</v>
      </c>
      <c r="G450">
        <v>10</v>
      </c>
      <c r="H450" t="s">
        <v>56</v>
      </c>
      <c r="I450" t="s">
        <v>73</v>
      </c>
      <c r="J450" t="s">
        <v>22</v>
      </c>
      <c r="K450" s="4">
        <v>327.04000000000002</v>
      </c>
      <c r="L450" t="s">
        <v>1197</v>
      </c>
      <c r="M450" s="1">
        <v>46061</v>
      </c>
      <c r="N450" t="s">
        <v>75</v>
      </c>
      <c r="O450" t="s">
        <v>33</v>
      </c>
    </row>
    <row r="451" spans="1:15" x14ac:dyDescent="0.25">
      <c r="A451" t="s">
        <v>1198</v>
      </c>
      <c r="B451" t="s">
        <v>59</v>
      </c>
      <c r="C451">
        <v>1997</v>
      </c>
      <c r="D451" t="s">
        <v>36</v>
      </c>
      <c r="E451" t="s">
        <v>54</v>
      </c>
      <c r="F451" t="s">
        <v>1199</v>
      </c>
      <c r="G451">
        <v>340</v>
      </c>
      <c r="H451" t="s">
        <v>47</v>
      </c>
      <c r="I451" t="s">
        <v>21</v>
      </c>
      <c r="J451" t="s">
        <v>49</v>
      </c>
      <c r="K451" s="4">
        <v>421.06</v>
      </c>
      <c r="L451" t="s">
        <v>1200</v>
      </c>
      <c r="M451" s="1">
        <v>46339</v>
      </c>
      <c r="N451" t="s">
        <v>24</v>
      </c>
      <c r="O451" t="s">
        <v>51</v>
      </c>
    </row>
    <row r="452" spans="1:15" x14ac:dyDescent="0.25">
      <c r="A452" t="s">
        <v>1201</v>
      </c>
      <c r="B452" t="s">
        <v>16</v>
      </c>
      <c r="C452">
        <v>2022</v>
      </c>
      <c r="D452" t="s">
        <v>27</v>
      </c>
      <c r="E452" t="s">
        <v>78</v>
      </c>
      <c r="F452" t="s">
        <v>79</v>
      </c>
      <c r="G452">
        <v>500</v>
      </c>
      <c r="H452" t="s">
        <v>56</v>
      </c>
      <c r="I452" t="s">
        <v>48</v>
      </c>
      <c r="J452" t="s">
        <v>146</v>
      </c>
      <c r="K452" s="4">
        <v>389.1</v>
      </c>
      <c r="L452" t="s">
        <v>1202</v>
      </c>
      <c r="M452" s="1">
        <v>46563</v>
      </c>
      <c r="N452" t="s">
        <v>24</v>
      </c>
      <c r="O452" t="s">
        <v>33</v>
      </c>
    </row>
    <row r="453" spans="1:15" x14ac:dyDescent="0.25">
      <c r="A453" t="s">
        <v>1203</v>
      </c>
      <c r="B453" t="s">
        <v>59</v>
      </c>
      <c r="C453">
        <v>2008</v>
      </c>
      <c r="D453" t="s">
        <v>17</v>
      </c>
      <c r="E453" t="s">
        <v>45</v>
      </c>
      <c r="F453" t="s">
        <v>61</v>
      </c>
      <c r="G453">
        <v>40</v>
      </c>
      <c r="H453" t="s">
        <v>56</v>
      </c>
      <c r="I453" t="s">
        <v>48</v>
      </c>
      <c r="J453" t="s">
        <v>110</v>
      </c>
      <c r="K453" s="4">
        <v>178.69</v>
      </c>
      <c r="L453" t="s">
        <v>1204</v>
      </c>
      <c r="M453" s="1">
        <v>46647</v>
      </c>
      <c r="N453" t="s">
        <v>41</v>
      </c>
      <c r="O453" t="s">
        <v>51</v>
      </c>
    </row>
    <row r="454" spans="1:15" x14ac:dyDescent="0.25">
      <c r="A454" t="s">
        <v>1205</v>
      </c>
      <c r="B454" t="s">
        <v>138</v>
      </c>
      <c r="C454">
        <v>2004</v>
      </c>
      <c r="D454" t="s">
        <v>66</v>
      </c>
      <c r="E454" t="s">
        <v>99</v>
      </c>
      <c r="F454" t="s">
        <v>1206</v>
      </c>
      <c r="G454">
        <v>80</v>
      </c>
      <c r="H454" t="s">
        <v>38</v>
      </c>
      <c r="I454" t="s">
        <v>30</v>
      </c>
      <c r="J454" t="s">
        <v>92</v>
      </c>
      <c r="K454" s="4">
        <v>360.88</v>
      </c>
      <c r="L454" t="s">
        <v>1207</v>
      </c>
      <c r="M454" s="1">
        <v>46519</v>
      </c>
      <c r="N454" t="s">
        <v>75</v>
      </c>
      <c r="O454" t="s">
        <v>25</v>
      </c>
    </row>
    <row r="455" spans="1:15" x14ac:dyDescent="0.25">
      <c r="A455" t="s">
        <v>1208</v>
      </c>
      <c r="B455" t="s">
        <v>70</v>
      </c>
      <c r="C455">
        <v>1999</v>
      </c>
      <c r="D455" t="s">
        <v>36</v>
      </c>
      <c r="E455" t="s">
        <v>18</v>
      </c>
      <c r="F455" t="s">
        <v>135</v>
      </c>
      <c r="G455">
        <v>660</v>
      </c>
      <c r="H455" t="s">
        <v>38</v>
      </c>
      <c r="I455" t="s">
        <v>86</v>
      </c>
      <c r="J455" t="s">
        <v>101</v>
      </c>
      <c r="K455" s="4">
        <v>170.92</v>
      </c>
      <c r="L455" t="s">
        <v>1209</v>
      </c>
      <c r="M455" s="1">
        <v>45976</v>
      </c>
      <c r="N455" t="s">
        <v>41</v>
      </c>
      <c r="O455" t="s">
        <v>25</v>
      </c>
    </row>
    <row r="456" spans="1:15" x14ac:dyDescent="0.25">
      <c r="A456" t="s">
        <v>1210</v>
      </c>
      <c r="B456" t="s">
        <v>138</v>
      </c>
      <c r="C456">
        <v>2022</v>
      </c>
      <c r="D456" t="s">
        <v>83</v>
      </c>
      <c r="E456" t="s">
        <v>18</v>
      </c>
      <c r="F456" t="s">
        <v>1211</v>
      </c>
      <c r="G456">
        <v>200</v>
      </c>
      <c r="H456" t="s">
        <v>38</v>
      </c>
      <c r="I456" t="s">
        <v>91</v>
      </c>
      <c r="J456" t="s">
        <v>31</v>
      </c>
      <c r="K456" s="4">
        <v>340.21</v>
      </c>
      <c r="L456" t="s">
        <v>1212</v>
      </c>
      <c r="M456" s="1">
        <v>45876</v>
      </c>
      <c r="N456" t="s">
        <v>75</v>
      </c>
      <c r="O456" t="s">
        <v>51</v>
      </c>
    </row>
    <row r="457" spans="1:15" x14ac:dyDescent="0.25">
      <c r="A457" t="s">
        <v>1213</v>
      </c>
      <c r="B457" t="s">
        <v>77</v>
      </c>
      <c r="C457">
        <v>2004</v>
      </c>
      <c r="D457" t="s">
        <v>27</v>
      </c>
      <c r="E457" t="s">
        <v>18</v>
      </c>
      <c r="F457" t="s">
        <v>79</v>
      </c>
      <c r="G457">
        <v>170</v>
      </c>
      <c r="H457" t="s">
        <v>20</v>
      </c>
      <c r="I457" t="s">
        <v>91</v>
      </c>
      <c r="J457" t="s">
        <v>101</v>
      </c>
      <c r="K457" s="4">
        <v>339.89</v>
      </c>
      <c r="L457" t="s">
        <v>1214</v>
      </c>
      <c r="M457" s="1">
        <v>46449</v>
      </c>
      <c r="N457" t="s">
        <v>75</v>
      </c>
      <c r="O457" t="s">
        <v>33</v>
      </c>
    </row>
    <row r="458" spans="1:15" x14ac:dyDescent="0.25">
      <c r="A458" t="s">
        <v>1215</v>
      </c>
      <c r="B458" t="s">
        <v>70</v>
      </c>
      <c r="C458">
        <v>2023</v>
      </c>
      <c r="D458" t="s">
        <v>66</v>
      </c>
      <c r="E458" t="s">
        <v>99</v>
      </c>
      <c r="F458" t="s">
        <v>1216</v>
      </c>
      <c r="G458">
        <v>360</v>
      </c>
      <c r="H458" t="s">
        <v>29</v>
      </c>
      <c r="I458" t="s">
        <v>21</v>
      </c>
      <c r="J458" t="s">
        <v>110</v>
      </c>
      <c r="K458" s="4">
        <v>471.12</v>
      </c>
      <c r="L458" t="s">
        <v>1217</v>
      </c>
      <c r="M458" s="1">
        <v>45967</v>
      </c>
      <c r="N458" t="s">
        <v>75</v>
      </c>
      <c r="O458" t="s">
        <v>51</v>
      </c>
    </row>
    <row r="459" spans="1:15" x14ac:dyDescent="0.25">
      <c r="A459" t="s">
        <v>1218</v>
      </c>
      <c r="B459" t="s">
        <v>98</v>
      </c>
      <c r="C459">
        <v>2016</v>
      </c>
      <c r="D459" t="s">
        <v>36</v>
      </c>
      <c r="E459" t="s">
        <v>60</v>
      </c>
      <c r="F459" t="s">
        <v>286</v>
      </c>
      <c r="G459">
        <v>690</v>
      </c>
      <c r="H459" t="s">
        <v>29</v>
      </c>
      <c r="I459" t="s">
        <v>39</v>
      </c>
      <c r="J459" t="s">
        <v>92</v>
      </c>
      <c r="K459" s="4">
        <v>294.98</v>
      </c>
      <c r="L459" t="s">
        <v>1219</v>
      </c>
      <c r="M459" s="1">
        <v>45986</v>
      </c>
      <c r="N459" t="s">
        <v>24</v>
      </c>
      <c r="O459" t="s">
        <v>25</v>
      </c>
    </row>
    <row r="460" spans="1:15" x14ac:dyDescent="0.25">
      <c r="A460" t="s">
        <v>1220</v>
      </c>
      <c r="B460" t="s">
        <v>70</v>
      </c>
      <c r="C460">
        <v>1993</v>
      </c>
      <c r="D460" t="s">
        <v>17</v>
      </c>
      <c r="E460" t="s">
        <v>18</v>
      </c>
      <c r="F460" t="s">
        <v>28</v>
      </c>
      <c r="G460">
        <v>550</v>
      </c>
      <c r="H460" t="s">
        <v>47</v>
      </c>
      <c r="I460" t="s">
        <v>186</v>
      </c>
      <c r="J460" t="s">
        <v>22</v>
      </c>
      <c r="K460" s="4">
        <v>490.74</v>
      </c>
      <c r="L460" t="s">
        <v>1221</v>
      </c>
      <c r="M460" s="1">
        <v>46786</v>
      </c>
      <c r="N460" t="s">
        <v>41</v>
      </c>
      <c r="O460" t="s">
        <v>25</v>
      </c>
    </row>
    <row r="461" spans="1:15" x14ac:dyDescent="0.25">
      <c r="A461" t="s">
        <v>1222</v>
      </c>
      <c r="B461" t="s">
        <v>35</v>
      </c>
      <c r="C461">
        <v>2007</v>
      </c>
      <c r="D461" t="s">
        <v>71</v>
      </c>
      <c r="E461" t="s">
        <v>99</v>
      </c>
      <c r="F461" t="s">
        <v>79</v>
      </c>
      <c r="G461">
        <v>970</v>
      </c>
      <c r="H461" t="s">
        <v>56</v>
      </c>
      <c r="I461" t="s">
        <v>21</v>
      </c>
      <c r="J461" t="s">
        <v>22</v>
      </c>
      <c r="K461" s="4">
        <v>449.07</v>
      </c>
      <c r="L461" t="s">
        <v>1223</v>
      </c>
      <c r="M461" s="1">
        <v>46462</v>
      </c>
      <c r="N461" t="s">
        <v>24</v>
      </c>
      <c r="O461" t="s">
        <v>33</v>
      </c>
    </row>
    <row r="462" spans="1:15" x14ac:dyDescent="0.25">
      <c r="A462" t="s">
        <v>1224</v>
      </c>
      <c r="B462" t="s">
        <v>16</v>
      </c>
      <c r="C462">
        <v>2014</v>
      </c>
      <c r="D462" t="s">
        <v>83</v>
      </c>
      <c r="E462" t="s">
        <v>72</v>
      </c>
      <c r="F462" t="s">
        <v>250</v>
      </c>
      <c r="G462">
        <v>650</v>
      </c>
      <c r="H462" t="s">
        <v>56</v>
      </c>
      <c r="I462" t="s">
        <v>73</v>
      </c>
      <c r="J462" t="s">
        <v>121</v>
      </c>
      <c r="K462" s="4">
        <v>281.39</v>
      </c>
      <c r="L462" t="s">
        <v>1225</v>
      </c>
      <c r="M462" s="1">
        <v>46804</v>
      </c>
      <c r="N462" t="s">
        <v>24</v>
      </c>
      <c r="O462" t="s">
        <v>25</v>
      </c>
    </row>
    <row r="463" spans="1:15" x14ac:dyDescent="0.25">
      <c r="A463" t="s">
        <v>1226</v>
      </c>
      <c r="B463" t="s">
        <v>53</v>
      </c>
      <c r="C463">
        <v>2005</v>
      </c>
      <c r="D463" t="s">
        <v>27</v>
      </c>
      <c r="E463" t="s">
        <v>116</v>
      </c>
      <c r="F463" t="s">
        <v>513</v>
      </c>
      <c r="G463">
        <v>890</v>
      </c>
      <c r="H463" t="s">
        <v>20</v>
      </c>
      <c r="I463" t="s">
        <v>30</v>
      </c>
      <c r="J463" t="s">
        <v>92</v>
      </c>
      <c r="K463" s="4">
        <v>33.869999999999997</v>
      </c>
      <c r="L463" t="s">
        <v>1227</v>
      </c>
      <c r="M463" s="1">
        <v>46374</v>
      </c>
      <c r="N463" t="s">
        <v>24</v>
      </c>
      <c r="O463" t="s">
        <v>51</v>
      </c>
    </row>
    <row r="464" spans="1:15" x14ac:dyDescent="0.25">
      <c r="A464" t="s">
        <v>1228</v>
      </c>
      <c r="B464" t="s">
        <v>43</v>
      </c>
      <c r="C464">
        <v>2001</v>
      </c>
      <c r="D464" t="s">
        <v>17</v>
      </c>
      <c r="E464" t="s">
        <v>54</v>
      </c>
      <c r="F464" t="s">
        <v>208</v>
      </c>
      <c r="G464">
        <v>690</v>
      </c>
      <c r="H464" t="s">
        <v>47</v>
      </c>
      <c r="I464" t="s">
        <v>151</v>
      </c>
      <c r="J464" t="s">
        <v>101</v>
      </c>
      <c r="K464" s="4">
        <v>483.19</v>
      </c>
      <c r="L464" t="s">
        <v>1229</v>
      </c>
      <c r="M464" s="1">
        <v>46745</v>
      </c>
      <c r="N464" t="s">
        <v>24</v>
      </c>
      <c r="O464" t="s">
        <v>25</v>
      </c>
    </row>
    <row r="465" spans="1:15" x14ac:dyDescent="0.25">
      <c r="A465" t="s">
        <v>1230</v>
      </c>
      <c r="B465" t="s">
        <v>59</v>
      </c>
      <c r="C465">
        <v>1992</v>
      </c>
      <c r="D465" t="s">
        <v>27</v>
      </c>
      <c r="E465" t="s">
        <v>104</v>
      </c>
      <c r="F465" t="s">
        <v>1231</v>
      </c>
      <c r="G465">
        <v>30</v>
      </c>
      <c r="H465" t="s">
        <v>47</v>
      </c>
      <c r="I465" t="s">
        <v>73</v>
      </c>
      <c r="J465" t="s">
        <v>22</v>
      </c>
      <c r="K465" s="4">
        <v>385.69</v>
      </c>
      <c r="L465" t="s">
        <v>1232</v>
      </c>
      <c r="M465" s="1">
        <v>46903</v>
      </c>
      <c r="N465" t="s">
        <v>24</v>
      </c>
      <c r="O465" t="s">
        <v>51</v>
      </c>
    </row>
    <row r="466" spans="1:15" x14ac:dyDescent="0.25">
      <c r="A466" t="s">
        <v>1233</v>
      </c>
      <c r="B466" t="s">
        <v>138</v>
      </c>
      <c r="C466">
        <v>1999</v>
      </c>
      <c r="D466" t="s">
        <v>44</v>
      </c>
      <c r="E466" t="s">
        <v>18</v>
      </c>
      <c r="F466" t="s">
        <v>1234</v>
      </c>
      <c r="G466">
        <v>40</v>
      </c>
      <c r="H466" t="s">
        <v>47</v>
      </c>
      <c r="I466" t="s">
        <v>48</v>
      </c>
      <c r="J466" t="s">
        <v>101</v>
      </c>
      <c r="K466" s="4">
        <v>454.95</v>
      </c>
      <c r="L466" t="s">
        <v>1235</v>
      </c>
      <c r="M466" s="1">
        <v>46584</v>
      </c>
      <c r="N466" t="s">
        <v>75</v>
      </c>
      <c r="O466" t="s">
        <v>51</v>
      </c>
    </row>
    <row r="467" spans="1:15" x14ac:dyDescent="0.25">
      <c r="A467" t="s">
        <v>1236</v>
      </c>
      <c r="B467" t="s">
        <v>43</v>
      </c>
      <c r="C467">
        <v>2010</v>
      </c>
      <c r="D467" t="s">
        <v>36</v>
      </c>
      <c r="E467" t="s">
        <v>99</v>
      </c>
      <c r="F467" t="s">
        <v>1237</v>
      </c>
      <c r="G467">
        <v>860</v>
      </c>
      <c r="H467" t="s">
        <v>56</v>
      </c>
      <c r="I467" t="s">
        <v>91</v>
      </c>
      <c r="J467" t="s">
        <v>49</v>
      </c>
      <c r="K467" s="4">
        <v>47.24</v>
      </c>
      <c r="L467" t="s">
        <v>1238</v>
      </c>
      <c r="M467" s="1">
        <v>46829</v>
      </c>
      <c r="N467" t="s">
        <v>75</v>
      </c>
      <c r="O467" t="s">
        <v>25</v>
      </c>
    </row>
    <row r="468" spans="1:15" x14ac:dyDescent="0.25">
      <c r="A468" t="s">
        <v>417</v>
      </c>
      <c r="B468" t="s">
        <v>134</v>
      </c>
      <c r="C468">
        <v>2010</v>
      </c>
      <c r="D468" t="s">
        <v>108</v>
      </c>
      <c r="E468" t="s">
        <v>116</v>
      </c>
      <c r="F468" t="s">
        <v>1239</v>
      </c>
      <c r="G468">
        <v>30</v>
      </c>
      <c r="H468" t="s">
        <v>62</v>
      </c>
      <c r="I468" t="s">
        <v>48</v>
      </c>
      <c r="J468" t="s">
        <v>101</v>
      </c>
      <c r="K468" s="4">
        <v>348.75</v>
      </c>
      <c r="L468" t="s">
        <v>1240</v>
      </c>
      <c r="M468" s="1">
        <v>46110</v>
      </c>
      <c r="N468" t="s">
        <v>41</v>
      </c>
      <c r="O468" t="s">
        <v>25</v>
      </c>
    </row>
    <row r="469" spans="1:15" x14ac:dyDescent="0.25">
      <c r="A469" t="s">
        <v>1241</v>
      </c>
      <c r="B469" t="s">
        <v>98</v>
      </c>
      <c r="C469">
        <v>2009</v>
      </c>
      <c r="D469" t="s">
        <v>95</v>
      </c>
      <c r="E469" t="s">
        <v>60</v>
      </c>
      <c r="F469" t="s">
        <v>1242</v>
      </c>
      <c r="G469">
        <v>710</v>
      </c>
      <c r="H469" t="s">
        <v>29</v>
      </c>
      <c r="I469" t="s">
        <v>21</v>
      </c>
      <c r="J469" t="s">
        <v>22</v>
      </c>
      <c r="K469" s="4">
        <v>39.729999999999997</v>
      </c>
      <c r="L469" t="s">
        <v>1243</v>
      </c>
      <c r="M469" s="1">
        <v>46142</v>
      </c>
      <c r="N469" t="s">
        <v>75</v>
      </c>
      <c r="O469" t="s">
        <v>33</v>
      </c>
    </row>
    <row r="470" spans="1:15" x14ac:dyDescent="0.25">
      <c r="A470" t="s">
        <v>1244</v>
      </c>
      <c r="B470" t="s">
        <v>70</v>
      </c>
      <c r="C470">
        <v>2015</v>
      </c>
      <c r="D470" t="s">
        <v>27</v>
      </c>
      <c r="E470" t="s">
        <v>60</v>
      </c>
      <c r="F470" t="s">
        <v>1245</v>
      </c>
      <c r="G470">
        <v>40</v>
      </c>
      <c r="H470" t="s">
        <v>62</v>
      </c>
      <c r="I470" t="s">
        <v>91</v>
      </c>
      <c r="J470" t="s">
        <v>49</v>
      </c>
      <c r="K470" s="4">
        <v>20.11</v>
      </c>
      <c r="L470" t="s">
        <v>1246</v>
      </c>
      <c r="M470" s="1">
        <v>46405</v>
      </c>
      <c r="N470" t="s">
        <v>24</v>
      </c>
      <c r="O470" t="s">
        <v>33</v>
      </c>
    </row>
    <row r="471" spans="1:15" x14ac:dyDescent="0.25">
      <c r="A471" t="s">
        <v>1247</v>
      </c>
      <c r="B471" t="s">
        <v>43</v>
      </c>
      <c r="C471">
        <v>2016</v>
      </c>
      <c r="D471" t="s">
        <v>108</v>
      </c>
      <c r="E471" t="s">
        <v>54</v>
      </c>
      <c r="F471" t="s">
        <v>139</v>
      </c>
      <c r="G471">
        <v>320</v>
      </c>
      <c r="H471" t="s">
        <v>62</v>
      </c>
      <c r="I471" t="s">
        <v>21</v>
      </c>
      <c r="J471" t="s">
        <v>22</v>
      </c>
      <c r="K471" s="4">
        <v>326.31</v>
      </c>
      <c r="L471" t="s">
        <v>1248</v>
      </c>
      <c r="M471" s="1">
        <v>46149</v>
      </c>
      <c r="N471" t="s">
        <v>75</v>
      </c>
      <c r="O471" t="s">
        <v>51</v>
      </c>
    </row>
    <row r="472" spans="1:15" x14ac:dyDescent="0.25">
      <c r="A472" t="s">
        <v>1249</v>
      </c>
      <c r="B472" t="s">
        <v>35</v>
      </c>
      <c r="C472">
        <v>2005</v>
      </c>
      <c r="D472" t="s">
        <v>44</v>
      </c>
      <c r="E472" t="s">
        <v>18</v>
      </c>
      <c r="F472" t="s">
        <v>1250</v>
      </c>
      <c r="G472">
        <v>530</v>
      </c>
      <c r="H472" t="s">
        <v>29</v>
      </c>
      <c r="I472" t="s">
        <v>86</v>
      </c>
      <c r="J472" t="s">
        <v>110</v>
      </c>
      <c r="K472" s="4">
        <v>354.88</v>
      </c>
      <c r="L472" t="s">
        <v>1251</v>
      </c>
      <c r="M472" s="1">
        <v>46556</v>
      </c>
      <c r="N472" t="s">
        <v>41</v>
      </c>
      <c r="O472" t="s">
        <v>25</v>
      </c>
    </row>
    <row r="473" spans="1:15" x14ac:dyDescent="0.25">
      <c r="A473" t="s">
        <v>1252</v>
      </c>
      <c r="B473" t="s">
        <v>138</v>
      </c>
      <c r="C473">
        <v>2002</v>
      </c>
      <c r="D473" t="s">
        <v>27</v>
      </c>
      <c r="E473" t="s">
        <v>18</v>
      </c>
      <c r="F473" t="s">
        <v>722</v>
      </c>
      <c r="G473">
        <v>810</v>
      </c>
      <c r="H473" t="s">
        <v>56</v>
      </c>
      <c r="I473" t="s">
        <v>73</v>
      </c>
      <c r="J473" t="s">
        <v>92</v>
      </c>
      <c r="K473" s="4">
        <v>205.15</v>
      </c>
      <c r="L473" t="s">
        <v>1253</v>
      </c>
      <c r="M473" s="1">
        <v>46511</v>
      </c>
      <c r="N473" t="s">
        <v>41</v>
      </c>
      <c r="O473" t="s">
        <v>33</v>
      </c>
    </row>
    <row r="474" spans="1:15" x14ac:dyDescent="0.25">
      <c r="A474" t="s">
        <v>1254</v>
      </c>
      <c r="B474" t="s">
        <v>134</v>
      </c>
      <c r="C474">
        <v>2012</v>
      </c>
      <c r="D474" t="s">
        <v>36</v>
      </c>
      <c r="E474" t="s">
        <v>104</v>
      </c>
      <c r="F474" t="s">
        <v>135</v>
      </c>
      <c r="G474">
        <v>270</v>
      </c>
      <c r="H474" t="s">
        <v>20</v>
      </c>
      <c r="I474" t="s">
        <v>48</v>
      </c>
      <c r="J474" t="s">
        <v>125</v>
      </c>
      <c r="K474" s="4">
        <v>448.69</v>
      </c>
      <c r="L474" t="s">
        <v>1255</v>
      </c>
      <c r="M474" s="1">
        <v>46544</v>
      </c>
      <c r="N474" t="s">
        <v>41</v>
      </c>
      <c r="O474" t="s">
        <v>51</v>
      </c>
    </row>
    <row r="475" spans="1:15" x14ac:dyDescent="0.25">
      <c r="A475" t="s">
        <v>1256</v>
      </c>
      <c r="B475" t="s">
        <v>77</v>
      </c>
      <c r="C475">
        <v>2023</v>
      </c>
      <c r="D475" t="s">
        <v>44</v>
      </c>
      <c r="E475" t="s">
        <v>99</v>
      </c>
      <c r="F475" t="s">
        <v>67</v>
      </c>
      <c r="G475">
        <v>550</v>
      </c>
      <c r="H475" t="s">
        <v>85</v>
      </c>
      <c r="I475" t="s">
        <v>73</v>
      </c>
      <c r="J475" t="s">
        <v>49</v>
      </c>
      <c r="K475" s="4">
        <v>427.83</v>
      </c>
      <c r="L475" t="s">
        <v>1257</v>
      </c>
      <c r="M475" s="1">
        <v>45980</v>
      </c>
      <c r="N475" t="s">
        <v>24</v>
      </c>
      <c r="O475" t="s">
        <v>33</v>
      </c>
    </row>
    <row r="476" spans="1:15" x14ac:dyDescent="0.25">
      <c r="A476" t="s">
        <v>1258</v>
      </c>
      <c r="B476" t="s">
        <v>77</v>
      </c>
      <c r="C476">
        <v>2004</v>
      </c>
      <c r="D476" t="s">
        <v>89</v>
      </c>
      <c r="E476" t="s">
        <v>104</v>
      </c>
      <c r="F476" t="s">
        <v>434</v>
      </c>
      <c r="G476">
        <v>960</v>
      </c>
      <c r="H476" t="s">
        <v>47</v>
      </c>
      <c r="I476" t="s">
        <v>151</v>
      </c>
      <c r="J476" t="s">
        <v>146</v>
      </c>
      <c r="K476" s="4">
        <v>462.61</v>
      </c>
      <c r="L476" t="s">
        <v>1259</v>
      </c>
      <c r="M476" s="1">
        <v>46168</v>
      </c>
      <c r="N476" t="s">
        <v>75</v>
      </c>
      <c r="O476" t="s">
        <v>25</v>
      </c>
    </row>
    <row r="477" spans="1:15" x14ac:dyDescent="0.25">
      <c r="A477" t="s">
        <v>1260</v>
      </c>
      <c r="B477" t="s">
        <v>134</v>
      </c>
      <c r="C477">
        <v>2021</v>
      </c>
      <c r="D477" t="s">
        <v>89</v>
      </c>
      <c r="E477" t="s">
        <v>99</v>
      </c>
      <c r="F477" t="s">
        <v>939</v>
      </c>
      <c r="G477">
        <v>760</v>
      </c>
      <c r="H477" t="s">
        <v>20</v>
      </c>
      <c r="I477" t="s">
        <v>80</v>
      </c>
      <c r="J477" t="s">
        <v>110</v>
      </c>
      <c r="K477" s="4">
        <v>372.23</v>
      </c>
      <c r="L477" t="s">
        <v>1261</v>
      </c>
      <c r="M477" s="1">
        <v>46340</v>
      </c>
      <c r="N477" t="s">
        <v>24</v>
      </c>
      <c r="O477" t="s">
        <v>33</v>
      </c>
    </row>
    <row r="478" spans="1:15" x14ac:dyDescent="0.25">
      <c r="A478" t="s">
        <v>1262</v>
      </c>
      <c r="B478" t="s">
        <v>98</v>
      </c>
      <c r="C478">
        <v>2012</v>
      </c>
      <c r="D478" t="s">
        <v>71</v>
      </c>
      <c r="E478" t="s">
        <v>72</v>
      </c>
      <c r="F478" t="s">
        <v>715</v>
      </c>
      <c r="G478">
        <v>530</v>
      </c>
      <c r="H478" t="s">
        <v>56</v>
      </c>
      <c r="I478" t="s">
        <v>48</v>
      </c>
      <c r="J478" t="s">
        <v>110</v>
      </c>
      <c r="K478" s="4">
        <v>436.2</v>
      </c>
      <c r="L478" t="s">
        <v>1263</v>
      </c>
      <c r="M478" s="1">
        <v>46208</v>
      </c>
      <c r="N478" t="s">
        <v>75</v>
      </c>
      <c r="O478" t="s">
        <v>25</v>
      </c>
    </row>
    <row r="479" spans="1:15" x14ac:dyDescent="0.25">
      <c r="A479" t="s">
        <v>1264</v>
      </c>
      <c r="B479" t="s">
        <v>98</v>
      </c>
      <c r="C479">
        <v>1998</v>
      </c>
      <c r="D479" t="s">
        <v>71</v>
      </c>
      <c r="E479" t="s">
        <v>18</v>
      </c>
      <c r="F479" t="s">
        <v>1265</v>
      </c>
      <c r="G479">
        <v>510</v>
      </c>
      <c r="H479" t="s">
        <v>47</v>
      </c>
      <c r="I479" t="s">
        <v>48</v>
      </c>
      <c r="J479" t="s">
        <v>121</v>
      </c>
      <c r="K479" s="4">
        <v>6.07</v>
      </c>
      <c r="L479" t="s">
        <v>1266</v>
      </c>
      <c r="M479" s="1">
        <v>46926</v>
      </c>
      <c r="N479" t="s">
        <v>75</v>
      </c>
      <c r="O479" t="s">
        <v>25</v>
      </c>
    </row>
    <row r="480" spans="1:15" x14ac:dyDescent="0.25">
      <c r="A480" t="s">
        <v>1267</v>
      </c>
      <c r="B480" t="s">
        <v>134</v>
      </c>
      <c r="C480">
        <v>1990</v>
      </c>
      <c r="D480" t="s">
        <v>17</v>
      </c>
      <c r="E480" t="s">
        <v>18</v>
      </c>
      <c r="F480" t="s">
        <v>28</v>
      </c>
      <c r="G480">
        <v>530</v>
      </c>
      <c r="H480" t="s">
        <v>56</v>
      </c>
      <c r="I480" t="s">
        <v>186</v>
      </c>
      <c r="J480" t="s">
        <v>92</v>
      </c>
      <c r="K480" s="4">
        <v>253.53</v>
      </c>
      <c r="L480" t="s">
        <v>1268</v>
      </c>
      <c r="M480" s="1">
        <v>46068</v>
      </c>
      <c r="N480" t="s">
        <v>24</v>
      </c>
      <c r="O480" t="s">
        <v>33</v>
      </c>
    </row>
    <row r="481" spans="1:15" x14ac:dyDescent="0.25">
      <c r="A481" t="s">
        <v>1269</v>
      </c>
      <c r="B481" t="s">
        <v>70</v>
      </c>
      <c r="C481">
        <v>2016</v>
      </c>
      <c r="D481" t="s">
        <v>66</v>
      </c>
      <c r="E481" t="s">
        <v>78</v>
      </c>
      <c r="F481" t="s">
        <v>783</v>
      </c>
      <c r="G481">
        <v>410</v>
      </c>
      <c r="H481" t="s">
        <v>85</v>
      </c>
      <c r="I481" t="s">
        <v>48</v>
      </c>
      <c r="J481" t="s">
        <v>31</v>
      </c>
      <c r="K481" s="4">
        <v>137.25</v>
      </c>
      <c r="L481" t="s">
        <v>1270</v>
      </c>
      <c r="M481" s="1">
        <v>46245</v>
      </c>
      <c r="N481" t="s">
        <v>41</v>
      </c>
      <c r="O481" t="s">
        <v>33</v>
      </c>
    </row>
    <row r="482" spans="1:15" x14ac:dyDescent="0.25">
      <c r="A482" t="s">
        <v>1271</v>
      </c>
      <c r="B482" t="s">
        <v>59</v>
      </c>
      <c r="C482">
        <v>1990</v>
      </c>
      <c r="D482" t="s">
        <v>95</v>
      </c>
      <c r="E482" t="s">
        <v>54</v>
      </c>
      <c r="F482" t="s">
        <v>493</v>
      </c>
      <c r="G482">
        <v>810</v>
      </c>
      <c r="H482" t="s">
        <v>47</v>
      </c>
      <c r="I482" t="s">
        <v>151</v>
      </c>
      <c r="J482" t="s">
        <v>121</v>
      </c>
      <c r="K482" s="4">
        <v>302.67</v>
      </c>
      <c r="L482" t="s">
        <v>1272</v>
      </c>
      <c r="M482" s="1">
        <v>46500</v>
      </c>
      <c r="N482" t="s">
        <v>24</v>
      </c>
      <c r="O482" t="s">
        <v>33</v>
      </c>
    </row>
    <row r="483" spans="1:15" x14ac:dyDescent="0.25">
      <c r="A483" t="s">
        <v>1273</v>
      </c>
      <c r="B483" t="s">
        <v>35</v>
      </c>
      <c r="C483">
        <v>2014</v>
      </c>
      <c r="D483" t="s">
        <v>89</v>
      </c>
      <c r="E483" t="s">
        <v>119</v>
      </c>
      <c r="F483" t="s">
        <v>67</v>
      </c>
      <c r="G483">
        <v>460</v>
      </c>
      <c r="H483" t="s">
        <v>62</v>
      </c>
      <c r="I483" t="s">
        <v>91</v>
      </c>
      <c r="J483" t="s">
        <v>49</v>
      </c>
      <c r="K483" s="4">
        <v>307.76</v>
      </c>
      <c r="L483" t="s">
        <v>1274</v>
      </c>
      <c r="M483" s="1">
        <v>46492</v>
      </c>
      <c r="N483" t="s">
        <v>24</v>
      </c>
      <c r="O483" t="s">
        <v>33</v>
      </c>
    </row>
    <row r="484" spans="1:15" x14ac:dyDescent="0.25">
      <c r="A484" t="s">
        <v>1275</v>
      </c>
      <c r="B484" t="s">
        <v>53</v>
      </c>
      <c r="C484">
        <v>2008</v>
      </c>
      <c r="D484" t="s">
        <v>108</v>
      </c>
      <c r="E484" t="s">
        <v>18</v>
      </c>
      <c r="F484" t="s">
        <v>128</v>
      </c>
      <c r="G484">
        <v>870</v>
      </c>
      <c r="H484" t="s">
        <v>85</v>
      </c>
      <c r="I484" t="s">
        <v>86</v>
      </c>
      <c r="J484" t="s">
        <v>101</v>
      </c>
      <c r="K484" s="4">
        <v>452.71</v>
      </c>
      <c r="L484" t="s">
        <v>1276</v>
      </c>
      <c r="M484" s="1">
        <v>46372</v>
      </c>
      <c r="N484" t="s">
        <v>24</v>
      </c>
      <c r="O484" t="s">
        <v>25</v>
      </c>
    </row>
    <row r="485" spans="1:15" x14ac:dyDescent="0.25">
      <c r="A485" t="s">
        <v>1277</v>
      </c>
      <c r="B485" t="s">
        <v>16</v>
      </c>
      <c r="C485">
        <v>1992</v>
      </c>
      <c r="D485" t="s">
        <v>27</v>
      </c>
      <c r="E485" t="s">
        <v>78</v>
      </c>
      <c r="F485" t="s">
        <v>929</v>
      </c>
      <c r="G485">
        <v>550</v>
      </c>
      <c r="H485" t="s">
        <v>47</v>
      </c>
      <c r="I485" t="s">
        <v>21</v>
      </c>
      <c r="J485" t="s">
        <v>92</v>
      </c>
      <c r="K485" s="4">
        <v>220.9</v>
      </c>
      <c r="L485" t="s">
        <v>1278</v>
      </c>
      <c r="M485" s="1">
        <v>45886</v>
      </c>
      <c r="N485" t="s">
        <v>75</v>
      </c>
      <c r="O485" t="s">
        <v>51</v>
      </c>
    </row>
    <row r="486" spans="1:15" x14ac:dyDescent="0.25">
      <c r="A486" t="s">
        <v>1279</v>
      </c>
      <c r="B486" t="s">
        <v>138</v>
      </c>
      <c r="C486">
        <v>2019</v>
      </c>
      <c r="D486" t="s">
        <v>89</v>
      </c>
      <c r="E486" t="s">
        <v>18</v>
      </c>
      <c r="F486" t="s">
        <v>1280</v>
      </c>
      <c r="G486">
        <v>70</v>
      </c>
      <c r="H486" t="s">
        <v>29</v>
      </c>
      <c r="I486" t="s">
        <v>86</v>
      </c>
      <c r="J486" t="s">
        <v>101</v>
      </c>
      <c r="K486" s="4">
        <v>145.54</v>
      </c>
      <c r="L486" t="s">
        <v>1281</v>
      </c>
      <c r="M486" s="1">
        <v>45991</v>
      </c>
      <c r="N486" t="s">
        <v>24</v>
      </c>
      <c r="O486" t="s">
        <v>51</v>
      </c>
    </row>
    <row r="487" spans="1:15" x14ac:dyDescent="0.25">
      <c r="A487" t="s">
        <v>1282</v>
      </c>
      <c r="B487" t="s">
        <v>77</v>
      </c>
      <c r="C487">
        <v>2020</v>
      </c>
      <c r="D487" t="s">
        <v>27</v>
      </c>
      <c r="E487" t="s">
        <v>116</v>
      </c>
      <c r="F487" t="s">
        <v>250</v>
      </c>
      <c r="G487">
        <v>210</v>
      </c>
      <c r="H487" t="s">
        <v>62</v>
      </c>
      <c r="I487" t="s">
        <v>80</v>
      </c>
      <c r="J487" t="s">
        <v>22</v>
      </c>
      <c r="K487" s="4">
        <v>482.52</v>
      </c>
      <c r="L487" t="s">
        <v>1283</v>
      </c>
      <c r="M487" s="1">
        <v>45935</v>
      </c>
      <c r="N487" t="s">
        <v>24</v>
      </c>
      <c r="O487" t="s">
        <v>25</v>
      </c>
    </row>
    <row r="488" spans="1:15" x14ac:dyDescent="0.25">
      <c r="A488" t="s">
        <v>1284</v>
      </c>
      <c r="B488" t="s">
        <v>70</v>
      </c>
      <c r="C488">
        <v>1993</v>
      </c>
      <c r="D488" t="s">
        <v>27</v>
      </c>
      <c r="E488" t="s">
        <v>18</v>
      </c>
      <c r="F488" t="s">
        <v>61</v>
      </c>
      <c r="G488">
        <v>600</v>
      </c>
      <c r="H488" t="s">
        <v>56</v>
      </c>
      <c r="I488" t="s">
        <v>30</v>
      </c>
      <c r="J488" t="s">
        <v>63</v>
      </c>
      <c r="K488" s="4">
        <v>116.42</v>
      </c>
      <c r="L488" t="s">
        <v>1285</v>
      </c>
      <c r="M488" s="1">
        <v>46295</v>
      </c>
      <c r="N488" t="s">
        <v>24</v>
      </c>
      <c r="O488" t="s">
        <v>51</v>
      </c>
    </row>
    <row r="489" spans="1:15" x14ac:dyDescent="0.25">
      <c r="A489" t="s">
        <v>179</v>
      </c>
      <c r="B489" t="s">
        <v>53</v>
      </c>
      <c r="C489">
        <v>1991</v>
      </c>
      <c r="D489" t="s">
        <v>108</v>
      </c>
      <c r="E489" t="s">
        <v>54</v>
      </c>
      <c r="F489" t="s">
        <v>1286</v>
      </c>
      <c r="G489">
        <v>510</v>
      </c>
      <c r="H489" t="s">
        <v>85</v>
      </c>
      <c r="I489" t="s">
        <v>48</v>
      </c>
      <c r="J489" t="s">
        <v>22</v>
      </c>
      <c r="K489" s="4">
        <v>97.66</v>
      </c>
      <c r="L489" t="s">
        <v>1287</v>
      </c>
      <c r="M489" s="1">
        <v>46925</v>
      </c>
      <c r="N489" t="s">
        <v>41</v>
      </c>
      <c r="O489" t="s">
        <v>33</v>
      </c>
    </row>
    <row r="490" spans="1:15" x14ac:dyDescent="0.25">
      <c r="A490" t="s">
        <v>1288</v>
      </c>
      <c r="B490" t="s">
        <v>134</v>
      </c>
      <c r="C490">
        <v>2002</v>
      </c>
      <c r="D490" t="s">
        <v>36</v>
      </c>
      <c r="E490" t="s">
        <v>78</v>
      </c>
      <c r="F490" t="s">
        <v>323</v>
      </c>
      <c r="G490">
        <v>110</v>
      </c>
      <c r="H490" t="s">
        <v>62</v>
      </c>
      <c r="I490" t="s">
        <v>30</v>
      </c>
      <c r="J490" t="s">
        <v>92</v>
      </c>
      <c r="K490" s="4">
        <v>454.74</v>
      </c>
      <c r="L490" t="s">
        <v>1289</v>
      </c>
      <c r="M490" s="1">
        <v>46516</v>
      </c>
      <c r="N490" t="s">
        <v>41</v>
      </c>
      <c r="O490" t="s">
        <v>51</v>
      </c>
    </row>
    <row r="491" spans="1:15" x14ac:dyDescent="0.25">
      <c r="A491" t="s">
        <v>1290</v>
      </c>
      <c r="B491" t="s">
        <v>134</v>
      </c>
      <c r="C491">
        <v>2006</v>
      </c>
      <c r="D491" t="s">
        <v>44</v>
      </c>
      <c r="E491" t="s">
        <v>104</v>
      </c>
      <c r="F491" t="s">
        <v>761</v>
      </c>
      <c r="G491">
        <v>780</v>
      </c>
      <c r="H491" t="s">
        <v>20</v>
      </c>
      <c r="I491" t="s">
        <v>86</v>
      </c>
      <c r="J491" t="s">
        <v>110</v>
      </c>
      <c r="K491" s="4">
        <v>352.4</v>
      </c>
      <c r="L491" t="s">
        <v>1291</v>
      </c>
      <c r="M491" s="1">
        <v>45988</v>
      </c>
      <c r="N491" t="s">
        <v>75</v>
      </c>
      <c r="O491" t="s">
        <v>33</v>
      </c>
    </row>
    <row r="492" spans="1:15" x14ac:dyDescent="0.25">
      <c r="A492" t="s">
        <v>1292</v>
      </c>
      <c r="B492" t="s">
        <v>16</v>
      </c>
      <c r="C492">
        <v>2021</v>
      </c>
      <c r="D492" t="s">
        <v>71</v>
      </c>
      <c r="E492" t="s">
        <v>45</v>
      </c>
      <c r="F492" t="s">
        <v>180</v>
      </c>
      <c r="G492">
        <v>120</v>
      </c>
      <c r="H492" t="s">
        <v>47</v>
      </c>
      <c r="I492" t="s">
        <v>86</v>
      </c>
      <c r="J492" t="s">
        <v>110</v>
      </c>
      <c r="K492" s="4">
        <v>422.49</v>
      </c>
      <c r="L492" t="s">
        <v>1293</v>
      </c>
      <c r="M492" s="1">
        <v>46111</v>
      </c>
      <c r="N492" t="s">
        <v>75</v>
      </c>
      <c r="O492" t="s">
        <v>51</v>
      </c>
    </row>
    <row r="493" spans="1:15" x14ac:dyDescent="0.25">
      <c r="A493" t="s">
        <v>1294</v>
      </c>
      <c r="B493" t="s">
        <v>43</v>
      </c>
      <c r="C493">
        <v>2024</v>
      </c>
      <c r="D493" t="s">
        <v>36</v>
      </c>
      <c r="E493" t="s">
        <v>45</v>
      </c>
      <c r="F493" t="s">
        <v>145</v>
      </c>
      <c r="G493">
        <v>900</v>
      </c>
      <c r="H493" t="s">
        <v>29</v>
      </c>
      <c r="I493" t="s">
        <v>151</v>
      </c>
      <c r="J493" t="s">
        <v>22</v>
      </c>
      <c r="K493" s="4">
        <v>467.85</v>
      </c>
      <c r="L493" t="s">
        <v>1295</v>
      </c>
      <c r="M493" s="1">
        <v>46047</v>
      </c>
      <c r="N493" t="s">
        <v>75</v>
      </c>
      <c r="O493" t="s">
        <v>51</v>
      </c>
    </row>
    <row r="494" spans="1:15" x14ac:dyDescent="0.25">
      <c r="A494" t="s">
        <v>1296</v>
      </c>
      <c r="B494" t="s">
        <v>98</v>
      </c>
      <c r="C494">
        <v>2011</v>
      </c>
      <c r="D494" t="s">
        <v>66</v>
      </c>
      <c r="E494" t="s">
        <v>104</v>
      </c>
      <c r="F494" t="s">
        <v>715</v>
      </c>
      <c r="G494">
        <v>620</v>
      </c>
      <c r="H494" t="s">
        <v>62</v>
      </c>
      <c r="I494" t="s">
        <v>151</v>
      </c>
      <c r="J494" t="s">
        <v>22</v>
      </c>
      <c r="K494" s="4">
        <v>109.12</v>
      </c>
      <c r="L494" t="s">
        <v>1297</v>
      </c>
      <c r="M494" s="1">
        <v>46834</v>
      </c>
      <c r="N494" t="s">
        <v>41</v>
      </c>
      <c r="O494" t="s">
        <v>25</v>
      </c>
    </row>
    <row r="495" spans="1:15" x14ac:dyDescent="0.25">
      <c r="A495" t="s">
        <v>1298</v>
      </c>
      <c r="B495" t="s">
        <v>53</v>
      </c>
      <c r="C495">
        <v>1999</v>
      </c>
      <c r="D495" t="s">
        <v>71</v>
      </c>
      <c r="E495" t="s">
        <v>72</v>
      </c>
      <c r="F495" t="s">
        <v>208</v>
      </c>
      <c r="G495">
        <v>240</v>
      </c>
      <c r="H495" t="s">
        <v>85</v>
      </c>
      <c r="I495" t="s">
        <v>39</v>
      </c>
      <c r="J495" t="s">
        <v>31</v>
      </c>
      <c r="K495" s="4">
        <v>306.08</v>
      </c>
      <c r="L495" t="s">
        <v>1299</v>
      </c>
      <c r="M495" s="1">
        <v>46604</v>
      </c>
      <c r="N495" t="s">
        <v>75</v>
      </c>
      <c r="O495" t="s">
        <v>51</v>
      </c>
    </row>
    <row r="496" spans="1:15" x14ac:dyDescent="0.25">
      <c r="A496" t="s">
        <v>1059</v>
      </c>
      <c r="B496" t="s">
        <v>77</v>
      </c>
      <c r="C496">
        <v>2017</v>
      </c>
      <c r="D496" t="s">
        <v>17</v>
      </c>
      <c r="E496" t="s">
        <v>116</v>
      </c>
      <c r="F496" t="s">
        <v>79</v>
      </c>
      <c r="G496">
        <v>800</v>
      </c>
      <c r="H496" t="s">
        <v>38</v>
      </c>
      <c r="I496" t="s">
        <v>186</v>
      </c>
      <c r="J496" t="s">
        <v>110</v>
      </c>
      <c r="K496" s="4">
        <v>190.41</v>
      </c>
      <c r="L496" t="s">
        <v>1300</v>
      </c>
      <c r="M496" s="1">
        <v>46609</v>
      </c>
      <c r="N496" t="s">
        <v>24</v>
      </c>
      <c r="O496" t="s">
        <v>51</v>
      </c>
    </row>
    <row r="497" spans="1:15" x14ac:dyDescent="0.25">
      <c r="A497" t="s">
        <v>1301</v>
      </c>
      <c r="B497" t="s">
        <v>43</v>
      </c>
      <c r="C497">
        <v>2012</v>
      </c>
      <c r="D497" t="s">
        <v>17</v>
      </c>
      <c r="E497" t="s">
        <v>119</v>
      </c>
      <c r="F497" t="s">
        <v>1302</v>
      </c>
      <c r="G497">
        <v>40</v>
      </c>
      <c r="H497" t="s">
        <v>56</v>
      </c>
      <c r="I497" t="s">
        <v>30</v>
      </c>
      <c r="J497" t="s">
        <v>22</v>
      </c>
      <c r="K497" s="4">
        <v>487.61</v>
      </c>
      <c r="L497" t="s">
        <v>1303</v>
      </c>
      <c r="M497" s="1">
        <v>46446</v>
      </c>
      <c r="N497" t="s">
        <v>24</v>
      </c>
      <c r="O497" t="s">
        <v>33</v>
      </c>
    </row>
    <row r="498" spans="1:15" x14ac:dyDescent="0.25">
      <c r="A498" t="s">
        <v>1304</v>
      </c>
      <c r="B498" t="s">
        <v>59</v>
      </c>
      <c r="C498">
        <v>2023</v>
      </c>
      <c r="D498" t="s">
        <v>44</v>
      </c>
      <c r="E498" t="s">
        <v>78</v>
      </c>
      <c r="F498" t="s">
        <v>180</v>
      </c>
      <c r="G498">
        <v>880</v>
      </c>
      <c r="H498" t="s">
        <v>56</v>
      </c>
      <c r="I498" t="s">
        <v>80</v>
      </c>
      <c r="J498" t="s">
        <v>146</v>
      </c>
      <c r="K498" s="4">
        <v>234.47</v>
      </c>
      <c r="L498" t="s">
        <v>1305</v>
      </c>
      <c r="M498" s="1">
        <v>46934</v>
      </c>
      <c r="N498" t="s">
        <v>41</v>
      </c>
      <c r="O498" t="s">
        <v>33</v>
      </c>
    </row>
    <row r="499" spans="1:15" x14ac:dyDescent="0.25">
      <c r="A499" t="s">
        <v>1306</v>
      </c>
      <c r="B499" t="s">
        <v>70</v>
      </c>
      <c r="C499">
        <v>2016</v>
      </c>
      <c r="D499" t="s">
        <v>71</v>
      </c>
      <c r="E499" t="s">
        <v>18</v>
      </c>
      <c r="F499" t="s">
        <v>28</v>
      </c>
      <c r="G499">
        <v>890</v>
      </c>
      <c r="H499" t="s">
        <v>85</v>
      </c>
      <c r="I499" t="s">
        <v>80</v>
      </c>
      <c r="J499" t="s">
        <v>31</v>
      </c>
      <c r="K499" s="4">
        <v>308.98</v>
      </c>
      <c r="L499" t="s">
        <v>1307</v>
      </c>
      <c r="M499" s="1">
        <v>46365</v>
      </c>
      <c r="N499" t="s">
        <v>75</v>
      </c>
      <c r="O499" t="s">
        <v>33</v>
      </c>
    </row>
    <row r="500" spans="1:15" x14ac:dyDescent="0.25">
      <c r="A500" t="s">
        <v>1308</v>
      </c>
      <c r="B500" t="s">
        <v>35</v>
      </c>
      <c r="C500">
        <v>2007</v>
      </c>
      <c r="D500" t="s">
        <v>89</v>
      </c>
      <c r="E500" t="s">
        <v>60</v>
      </c>
      <c r="F500" t="s">
        <v>1309</v>
      </c>
      <c r="G500">
        <v>990</v>
      </c>
      <c r="H500" t="s">
        <v>62</v>
      </c>
      <c r="I500" t="s">
        <v>86</v>
      </c>
      <c r="J500" t="s">
        <v>22</v>
      </c>
      <c r="K500" s="4">
        <v>293.45</v>
      </c>
      <c r="L500" t="s">
        <v>1310</v>
      </c>
      <c r="M500" s="1">
        <v>46337</v>
      </c>
      <c r="N500" t="s">
        <v>41</v>
      </c>
      <c r="O500" t="s">
        <v>25</v>
      </c>
    </row>
    <row r="501" spans="1:15" x14ac:dyDescent="0.25">
      <c r="A501" t="s">
        <v>1311</v>
      </c>
      <c r="B501" t="s">
        <v>134</v>
      </c>
      <c r="C501">
        <v>2017</v>
      </c>
      <c r="D501" t="s">
        <v>66</v>
      </c>
      <c r="E501" t="s">
        <v>119</v>
      </c>
      <c r="F501" t="s">
        <v>1312</v>
      </c>
      <c r="G501">
        <v>810</v>
      </c>
      <c r="H501" t="s">
        <v>47</v>
      </c>
      <c r="I501" t="s">
        <v>80</v>
      </c>
      <c r="J501" t="s">
        <v>31</v>
      </c>
      <c r="K501" s="4">
        <v>498.98</v>
      </c>
      <c r="L501" t="s">
        <v>1313</v>
      </c>
      <c r="M501" s="1">
        <v>46238</v>
      </c>
      <c r="N501" t="s">
        <v>41</v>
      </c>
      <c r="O501" t="s">
        <v>33</v>
      </c>
    </row>
    <row r="502" spans="1:15" x14ac:dyDescent="0.25">
      <c r="A502" t="s">
        <v>1314</v>
      </c>
      <c r="B502" t="s">
        <v>98</v>
      </c>
      <c r="C502">
        <v>2007</v>
      </c>
      <c r="D502" t="s">
        <v>36</v>
      </c>
      <c r="E502" t="s">
        <v>119</v>
      </c>
      <c r="F502" t="s">
        <v>180</v>
      </c>
      <c r="G502">
        <v>700</v>
      </c>
      <c r="H502" t="s">
        <v>85</v>
      </c>
      <c r="I502" t="s">
        <v>86</v>
      </c>
      <c r="J502" t="s">
        <v>22</v>
      </c>
      <c r="K502" s="4">
        <v>129.97999999999999</v>
      </c>
      <c r="L502" t="s">
        <v>1315</v>
      </c>
      <c r="M502" s="1">
        <v>46431</v>
      </c>
      <c r="N502" t="s">
        <v>24</v>
      </c>
      <c r="O502" t="s">
        <v>51</v>
      </c>
    </row>
    <row r="503" spans="1:15" x14ac:dyDescent="0.25">
      <c r="A503" t="s">
        <v>1316</v>
      </c>
      <c r="B503" t="s">
        <v>35</v>
      </c>
      <c r="C503">
        <v>1995</v>
      </c>
      <c r="D503" t="s">
        <v>71</v>
      </c>
      <c r="E503" t="s">
        <v>99</v>
      </c>
      <c r="F503" t="s">
        <v>46</v>
      </c>
      <c r="G503">
        <v>460</v>
      </c>
      <c r="H503" t="s">
        <v>38</v>
      </c>
      <c r="I503" t="s">
        <v>91</v>
      </c>
      <c r="J503" t="s">
        <v>31</v>
      </c>
      <c r="K503" s="4">
        <v>352.19</v>
      </c>
      <c r="L503" t="s">
        <v>1317</v>
      </c>
      <c r="M503" s="1">
        <v>46388</v>
      </c>
      <c r="N503" t="s">
        <v>75</v>
      </c>
      <c r="O503" t="s">
        <v>33</v>
      </c>
    </row>
    <row r="504" spans="1:15" x14ac:dyDescent="0.25">
      <c r="A504" t="s">
        <v>1318</v>
      </c>
      <c r="B504" t="s">
        <v>59</v>
      </c>
      <c r="C504">
        <v>1990</v>
      </c>
      <c r="D504" t="s">
        <v>66</v>
      </c>
      <c r="E504" t="s">
        <v>18</v>
      </c>
      <c r="F504" t="s">
        <v>67</v>
      </c>
      <c r="G504">
        <v>90</v>
      </c>
      <c r="H504" t="s">
        <v>20</v>
      </c>
      <c r="I504" t="s">
        <v>91</v>
      </c>
      <c r="J504" t="s">
        <v>49</v>
      </c>
      <c r="K504" s="4">
        <v>452.07</v>
      </c>
      <c r="L504" t="s">
        <v>1319</v>
      </c>
      <c r="M504" s="1">
        <v>46409</v>
      </c>
      <c r="N504" t="s">
        <v>41</v>
      </c>
      <c r="O504" t="s">
        <v>33</v>
      </c>
    </row>
    <row r="505" spans="1:15" x14ac:dyDescent="0.25">
      <c r="A505" t="s">
        <v>1320</v>
      </c>
      <c r="B505" t="s">
        <v>43</v>
      </c>
      <c r="C505">
        <v>2007</v>
      </c>
      <c r="D505" t="s">
        <v>17</v>
      </c>
      <c r="E505" t="s">
        <v>54</v>
      </c>
      <c r="F505" t="s">
        <v>67</v>
      </c>
      <c r="G505">
        <v>150</v>
      </c>
      <c r="H505" t="s">
        <v>56</v>
      </c>
      <c r="I505" t="s">
        <v>39</v>
      </c>
      <c r="J505" t="s">
        <v>22</v>
      </c>
      <c r="K505" s="4">
        <v>330.25</v>
      </c>
      <c r="L505" t="s">
        <v>1321</v>
      </c>
      <c r="M505" s="1">
        <v>46298</v>
      </c>
      <c r="N505" t="s">
        <v>41</v>
      </c>
      <c r="O505" t="s">
        <v>33</v>
      </c>
    </row>
    <row r="506" spans="1:15" x14ac:dyDescent="0.25">
      <c r="A506" t="s">
        <v>1322</v>
      </c>
      <c r="B506" t="s">
        <v>16</v>
      </c>
      <c r="C506">
        <v>1995</v>
      </c>
      <c r="D506" t="s">
        <v>44</v>
      </c>
      <c r="E506" t="s">
        <v>99</v>
      </c>
      <c r="F506" t="s">
        <v>67</v>
      </c>
      <c r="G506">
        <v>100</v>
      </c>
      <c r="H506" t="s">
        <v>29</v>
      </c>
      <c r="I506" t="s">
        <v>86</v>
      </c>
      <c r="J506" t="s">
        <v>49</v>
      </c>
      <c r="K506" s="4">
        <v>65.5</v>
      </c>
      <c r="L506" t="s">
        <v>1323</v>
      </c>
      <c r="M506" s="1">
        <v>46107</v>
      </c>
      <c r="N506" t="s">
        <v>75</v>
      </c>
      <c r="O506" t="s">
        <v>25</v>
      </c>
    </row>
    <row r="507" spans="1:15" x14ac:dyDescent="0.25">
      <c r="A507" t="s">
        <v>1324</v>
      </c>
      <c r="B507" t="s">
        <v>59</v>
      </c>
      <c r="C507">
        <v>2003</v>
      </c>
      <c r="D507" t="s">
        <v>44</v>
      </c>
      <c r="E507" t="s">
        <v>72</v>
      </c>
      <c r="F507" t="s">
        <v>252</v>
      </c>
      <c r="G507">
        <v>70</v>
      </c>
      <c r="H507" t="s">
        <v>47</v>
      </c>
      <c r="I507" t="s">
        <v>73</v>
      </c>
      <c r="J507" t="s">
        <v>146</v>
      </c>
      <c r="K507" s="4">
        <v>426.73</v>
      </c>
      <c r="L507" t="s">
        <v>1325</v>
      </c>
      <c r="M507" s="1">
        <v>45918</v>
      </c>
      <c r="N507" t="s">
        <v>24</v>
      </c>
      <c r="O507" t="s">
        <v>33</v>
      </c>
    </row>
    <row r="508" spans="1:15" x14ac:dyDescent="0.25">
      <c r="A508" t="s">
        <v>1326</v>
      </c>
      <c r="B508" t="s">
        <v>70</v>
      </c>
      <c r="C508">
        <v>1995</v>
      </c>
      <c r="D508" t="s">
        <v>71</v>
      </c>
      <c r="E508" t="s">
        <v>18</v>
      </c>
      <c r="F508" t="s">
        <v>1327</v>
      </c>
      <c r="G508">
        <v>140</v>
      </c>
      <c r="H508" t="s">
        <v>47</v>
      </c>
      <c r="I508" t="s">
        <v>91</v>
      </c>
      <c r="J508" t="s">
        <v>31</v>
      </c>
      <c r="K508" s="4">
        <v>162.12</v>
      </c>
      <c r="L508" t="s">
        <v>1328</v>
      </c>
      <c r="M508" s="1">
        <v>46702</v>
      </c>
      <c r="N508" t="s">
        <v>41</v>
      </c>
      <c r="O508" t="s">
        <v>25</v>
      </c>
    </row>
    <row r="509" spans="1:15" x14ac:dyDescent="0.25">
      <c r="A509" t="s">
        <v>1329</v>
      </c>
      <c r="B509" t="s">
        <v>134</v>
      </c>
      <c r="C509">
        <v>2008</v>
      </c>
      <c r="D509" t="s">
        <v>44</v>
      </c>
      <c r="E509" t="s">
        <v>78</v>
      </c>
      <c r="F509" t="s">
        <v>226</v>
      </c>
      <c r="G509">
        <v>620</v>
      </c>
      <c r="H509" t="s">
        <v>20</v>
      </c>
      <c r="I509" t="s">
        <v>186</v>
      </c>
      <c r="J509" t="s">
        <v>92</v>
      </c>
      <c r="K509" s="4">
        <v>273.79000000000002</v>
      </c>
      <c r="L509" t="s">
        <v>1330</v>
      </c>
      <c r="M509" s="1">
        <v>46665</v>
      </c>
      <c r="N509" t="s">
        <v>75</v>
      </c>
      <c r="O509" t="s">
        <v>51</v>
      </c>
    </row>
    <row r="510" spans="1:15" x14ac:dyDescent="0.25">
      <c r="A510" t="s">
        <v>1331</v>
      </c>
      <c r="B510" t="s">
        <v>134</v>
      </c>
      <c r="C510">
        <v>2021</v>
      </c>
      <c r="D510" t="s">
        <v>71</v>
      </c>
      <c r="E510" t="s">
        <v>72</v>
      </c>
      <c r="F510" t="s">
        <v>261</v>
      </c>
      <c r="G510">
        <v>830</v>
      </c>
      <c r="H510" t="s">
        <v>85</v>
      </c>
      <c r="I510" t="s">
        <v>48</v>
      </c>
      <c r="J510" t="s">
        <v>146</v>
      </c>
      <c r="K510" s="4">
        <v>247.36</v>
      </c>
      <c r="L510" t="s">
        <v>1332</v>
      </c>
      <c r="M510" s="1">
        <v>46699</v>
      </c>
      <c r="N510" t="s">
        <v>24</v>
      </c>
      <c r="O510" t="s">
        <v>33</v>
      </c>
    </row>
    <row r="511" spans="1:15" x14ac:dyDescent="0.25">
      <c r="A511" t="s">
        <v>1333</v>
      </c>
      <c r="B511" t="s">
        <v>134</v>
      </c>
      <c r="C511">
        <v>2002</v>
      </c>
      <c r="D511" t="s">
        <v>89</v>
      </c>
      <c r="E511" t="s">
        <v>45</v>
      </c>
      <c r="F511" t="s">
        <v>296</v>
      </c>
      <c r="G511">
        <v>190</v>
      </c>
      <c r="H511" t="s">
        <v>20</v>
      </c>
      <c r="I511" t="s">
        <v>73</v>
      </c>
      <c r="J511" t="s">
        <v>146</v>
      </c>
      <c r="K511" s="4">
        <v>12.41</v>
      </c>
      <c r="L511" t="s">
        <v>1334</v>
      </c>
      <c r="M511" s="1">
        <v>46067</v>
      </c>
      <c r="N511" t="s">
        <v>75</v>
      </c>
      <c r="O511" t="s">
        <v>51</v>
      </c>
    </row>
    <row r="512" spans="1:15" x14ac:dyDescent="0.25">
      <c r="A512" t="s">
        <v>1335</v>
      </c>
      <c r="B512" t="s">
        <v>59</v>
      </c>
      <c r="C512">
        <v>2016</v>
      </c>
      <c r="D512" t="s">
        <v>17</v>
      </c>
      <c r="E512" t="s">
        <v>119</v>
      </c>
      <c r="F512" t="s">
        <v>1336</v>
      </c>
      <c r="G512">
        <v>880</v>
      </c>
      <c r="H512" t="s">
        <v>29</v>
      </c>
      <c r="I512" t="s">
        <v>73</v>
      </c>
      <c r="J512" t="s">
        <v>110</v>
      </c>
      <c r="K512" s="4">
        <v>175.59</v>
      </c>
      <c r="L512" t="s">
        <v>1337</v>
      </c>
      <c r="M512" s="1">
        <v>46330</v>
      </c>
      <c r="N512" t="s">
        <v>41</v>
      </c>
      <c r="O512" t="s">
        <v>25</v>
      </c>
    </row>
    <row r="513" spans="1:15" x14ac:dyDescent="0.25">
      <c r="A513" t="s">
        <v>1338</v>
      </c>
      <c r="B513" t="s">
        <v>53</v>
      </c>
      <c r="C513">
        <v>2000</v>
      </c>
      <c r="D513" t="s">
        <v>44</v>
      </c>
      <c r="E513" t="s">
        <v>54</v>
      </c>
      <c r="F513" t="s">
        <v>885</v>
      </c>
      <c r="G513">
        <v>620</v>
      </c>
      <c r="H513" t="s">
        <v>38</v>
      </c>
      <c r="I513" t="s">
        <v>48</v>
      </c>
      <c r="J513" t="s">
        <v>110</v>
      </c>
      <c r="K513" s="4">
        <v>282.27999999999997</v>
      </c>
      <c r="L513" t="s">
        <v>1339</v>
      </c>
      <c r="M513" s="1">
        <v>46376</v>
      </c>
      <c r="N513" t="s">
        <v>75</v>
      </c>
      <c r="O513" t="s">
        <v>51</v>
      </c>
    </row>
    <row r="514" spans="1:15" x14ac:dyDescent="0.25">
      <c r="A514" t="s">
        <v>1340</v>
      </c>
      <c r="B514" t="s">
        <v>35</v>
      </c>
      <c r="C514">
        <v>1991</v>
      </c>
      <c r="D514" t="s">
        <v>66</v>
      </c>
      <c r="E514" t="s">
        <v>60</v>
      </c>
      <c r="F514" t="s">
        <v>67</v>
      </c>
      <c r="G514">
        <v>980</v>
      </c>
      <c r="H514" t="s">
        <v>56</v>
      </c>
      <c r="I514" t="s">
        <v>86</v>
      </c>
      <c r="J514" t="s">
        <v>49</v>
      </c>
      <c r="K514" s="4">
        <v>392</v>
      </c>
      <c r="L514" t="s">
        <v>1341</v>
      </c>
      <c r="M514" s="1">
        <v>45927</v>
      </c>
      <c r="N514" t="s">
        <v>24</v>
      </c>
      <c r="O514" t="s">
        <v>51</v>
      </c>
    </row>
    <row r="515" spans="1:15" x14ac:dyDescent="0.25">
      <c r="A515" t="s">
        <v>1342</v>
      </c>
      <c r="B515" t="s">
        <v>138</v>
      </c>
      <c r="C515">
        <v>1992</v>
      </c>
      <c r="D515" t="s">
        <v>66</v>
      </c>
      <c r="E515" t="s">
        <v>104</v>
      </c>
      <c r="F515" t="s">
        <v>1343</v>
      </c>
      <c r="G515">
        <v>630</v>
      </c>
      <c r="H515" t="s">
        <v>56</v>
      </c>
      <c r="I515" t="s">
        <v>48</v>
      </c>
      <c r="J515" t="s">
        <v>101</v>
      </c>
      <c r="K515" s="4">
        <v>364.33</v>
      </c>
      <c r="L515" t="s">
        <v>1344</v>
      </c>
      <c r="M515" s="1">
        <v>46291</v>
      </c>
      <c r="N515" t="s">
        <v>24</v>
      </c>
      <c r="O515" t="s">
        <v>25</v>
      </c>
    </row>
    <row r="516" spans="1:15" x14ac:dyDescent="0.25">
      <c r="A516" t="s">
        <v>1345</v>
      </c>
      <c r="B516" t="s">
        <v>134</v>
      </c>
      <c r="C516">
        <v>1990</v>
      </c>
      <c r="D516" t="s">
        <v>66</v>
      </c>
      <c r="E516" t="s">
        <v>119</v>
      </c>
      <c r="F516" t="s">
        <v>145</v>
      </c>
      <c r="G516">
        <v>800</v>
      </c>
      <c r="H516" t="s">
        <v>56</v>
      </c>
      <c r="I516" t="s">
        <v>30</v>
      </c>
      <c r="J516" t="s">
        <v>121</v>
      </c>
      <c r="K516" s="4">
        <v>226.11</v>
      </c>
      <c r="L516" t="s">
        <v>1346</v>
      </c>
      <c r="M516" s="1">
        <v>46577</v>
      </c>
      <c r="N516" t="s">
        <v>75</v>
      </c>
      <c r="O516" t="s">
        <v>51</v>
      </c>
    </row>
    <row r="517" spans="1:15" x14ac:dyDescent="0.25">
      <c r="A517" t="s">
        <v>1347</v>
      </c>
      <c r="B517" t="s">
        <v>53</v>
      </c>
      <c r="C517">
        <v>2009</v>
      </c>
      <c r="D517" t="s">
        <v>89</v>
      </c>
      <c r="E517" t="s">
        <v>78</v>
      </c>
      <c r="F517" t="s">
        <v>208</v>
      </c>
      <c r="G517">
        <v>650</v>
      </c>
      <c r="H517" t="s">
        <v>38</v>
      </c>
      <c r="I517" t="s">
        <v>21</v>
      </c>
      <c r="J517" t="s">
        <v>49</v>
      </c>
      <c r="K517" s="4">
        <v>397.13</v>
      </c>
      <c r="L517" t="s">
        <v>1348</v>
      </c>
      <c r="M517" s="1">
        <v>46241</v>
      </c>
      <c r="N517" t="s">
        <v>24</v>
      </c>
      <c r="O517" t="s">
        <v>51</v>
      </c>
    </row>
    <row r="518" spans="1:15" x14ac:dyDescent="0.25">
      <c r="A518" t="s">
        <v>1349</v>
      </c>
      <c r="B518" t="s">
        <v>59</v>
      </c>
      <c r="C518">
        <v>2010</v>
      </c>
      <c r="D518" t="s">
        <v>83</v>
      </c>
      <c r="E518" t="s">
        <v>104</v>
      </c>
      <c r="F518" t="s">
        <v>520</v>
      </c>
      <c r="G518">
        <v>990</v>
      </c>
      <c r="H518" t="s">
        <v>62</v>
      </c>
      <c r="I518" t="s">
        <v>80</v>
      </c>
      <c r="J518" t="s">
        <v>125</v>
      </c>
      <c r="K518" s="4">
        <v>109.29</v>
      </c>
      <c r="L518" t="s">
        <v>1350</v>
      </c>
      <c r="M518" s="1">
        <v>46255</v>
      </c>
      <c r="N518" t="s">
        <v>75</v>
      </c>
      <c r="O518" t="s">
        <v>51</v>
      </c>
    </row>
    <row r="519" spans="1:15" x14ac:dyDescent="0.25">
      <c r="A519" t="s">
        <v>1351</v>
      </c>
      <c r="B519" t="s">
        <v>98</v>
      </c>
      <c r="C519">
        <v>2003</v>
      </c>
      <c r="D519" t="s">
        <v>89</v>
      </c>
      <c r="E519" t="s">
        <v>119</v>
      </c>
      <c r="F519" t="s">
        <v>1237</v>
      </c>
      <c r="G519">
        <v>540</v>
      </c>
      <c r="H519" t="s">
        <v>29</v>
      </c>
      <c r="I519" t="s">
        <v>91</v>
      </c>
      <c r="J519" t="s">
        <v>49</v>
      </c>
      <c r="K519" s="4">
        <v>193.59</v>
      </c>
      <c r="L519" t="s">
        <v>1352</v>
      </c>
      <c r="M519" s="1">
        <v>46421</v>
      </c>
      <c r="N519" t="s">
        <v>24</v>
      </c>
      <c r="O519" t="s">
        <v>25</v>
      </c>
    </row>
    <row r="520" spans="1:15" x14ac:dyDescent="0.25">
      <c r="A520" t="s">
        <v>1353</v>
      </c>
      <c r="B520" t="s">
        <v>134</v>
      </c>
      <c r="C520">
        <v>2009</v>
      </c>
      <c r="D520" t="s">
        <v>66</v>
      </c>
      <c r="E520" t="s">
        <v>54</v>
      </c>
      <c r="F520" t="s">
        <v>381</v>
      </c>
      <c r="G520">
        <v>370</v>
      </c>
      <c r="H520" t="s">
        <v>56</v>
      </c>
      <c r="I520" t="s">
        <v>48</v>
      </c>
      <c r="J520" t="s">
        <v>110</v>
      </c>
      <c r="K520" s="4">
        <v>345.25</v>
      </c>
      <c r="L520" t="s">
        <v>1354</v>
      </c>
      <c r="M520" s="1">
        <v>46162</v>
      </c>
      <c r="N520" t="s">
        <v>41</v>
      </c>
      <c r="O520" t="s">
        <v>51</v>
      </c>
    </row>
    <row r="521" spans="1:15" x14ac:dyDescent="0.25">
      <c r="A521" t="s">
        <v>1355</v>
      </c>
      <c r="B521" t="s">
        <v>77</v>
      </c>
      <c r="C521">
        <v>1999</v>
      </c>
      <c r="D521" t="s">
        <v>36</v>
      </c>
      <c r="E521" t="s">
        <v>45</v>
      </c>
      <c r="F521" t="s">
        <v>28</v>
      </c>
      <c r="G521">
        <v>750</v>
      </c>
      <c r="H521" t="s">
        <v>62</v>
      </c>
      <c r="I521" t="s">
        <v>151</v>
      </c>
      <c r="J521" t="s">
        <v>110</v>
      </c>
      <c r="K521" s="4">
        <v>341.89</v>
      </c>
      <c r="L521" t="s">
        <v>1356</v>
      </c>
      <c r="M521" s="1">
        <v>46908</v>
      </c>
      <c r="N521" t="s">
        <v>24</v>
      </c>
      <c r="O521" t="s">
        <v>51</v>
      </c>
    </row>
    <row r="522" spans="1:15" x14ac:dyDescent="0.25">
      <c r="A522" t="s">
        <v>1357</v>
      </c>
      <c r="B522" t="s">
        <v>98</v>
      </c>
      <c r="C522">
        <v>2021</v>
      </c>
      <c r="D522" t="s">
        <v>71</v>
      </c>
      <c r="E522" t="s">
        <v>18</v>
      </c>
      <c r="F522" t="s">
        <v>250</v>
      </c>
      <c r="G522">
        <v>310</v>
      </c>
      <c r="H522" t="s">
        <v>47</v>
      </c>
      <c r="I522" t="s">
        <v>86</v>
      </c>
      <c r="J522" t="s">
        <v>101</v>
      </c>
      <c r="K522" s="4">
        <v>495.07</v>
      </c>
      <c r="L522" t="s">
        <v>1358</v>
      </c>
      <c r="M522" s="1">
        <v>45998</v>
      </c>
      <c r="N522" t="s">
        <v>41</v>
      </c>
      <c r="O522" t="s">
        <v>33</v>
      </c>
    </row>
    <row r="523" spans="1:15" x14ac:dyDescent="0.25">
      <c r="A523" t="s">
        <v>1359</v>
      </c>
      <c r="B523" t="s">
        <v>138</v>
      </c>
      <c r="C523">
        <v>2002</v>
      </c>
      <c r="D523" t="s">
        <v>17</v>
      </c>
      <c r="E523" t="s">
        <v>104</v>
      </c>
      <c r="F523" t="s">
        <v>1360</v>
      </c>
      <c r="G523">
        <v>390</v>
      </c>
      <c r="H523" t="s">
        <v>20</v>
      </c>
      <c r="I523" t="s">
        <v>91</v>
      </c>
      <c r="J523" t="s">
        <v>110</v>
      </c>
      <c r="K523" s="4">
        <v>129.13</v>
      </c>
      <c r="L523" t="s">
        <v>1361</v>
      </c>
      <c r="M523" s="1">
        <v>46488</v>
      </c>
      <c r="N523" t="s">
        <v>75</v>
      </c>
      <c r="O523" t="s">
        <v>33</v>
      </c>
    </row>
    <row r="524" spans="1:15" x14ac:dyDescent="0.25">
      <c r="A524" t="s">
        <v>1362</v>
      </c>
      <c r="B524" t="s">
        <v>98</v>
      </c>
      <c r="C524">
        <v>2010</v>
      </c>
      <c r="D524" t="s">
        <v>44</v>
      </c>
      <c r="E524" t="s">
        <v>54</v>
      </c>
      <c r="F524" t="s">
        <v>79</v>
      </c>
      <c r="G524">
        <v>100</v>
      </c>
      <c r="H524" t="s">
        <v>29</v>
      </c>
      <c r="I524" t="s">
        <v>91</v>
      </c>
      <c r="J524" t="s">
        <v>49</v>
      </c>
      <c r="K524" s="4">
        <v>91.28</v>
      </c>
      <c r="L524" t="s">
        <v>1363</v>
      </c>
      <c r="M524" s="1">
        <v>46893</v>
      </c>
      <c r="N524" t="s">
        <v>41</v>
      </c>
      <c r="O524" t="s">
        <v>25</v>
      </c>
    </row>
    <row r="525" spans="1:15" x14ac:dyDescent="0.25">
      <c r="A525" t="s">
        <v>1364</v>
      </c>
      <c r="B525" t="s">
        <v>138</v>
      </c>
      <c r="C525">
        <v>2004</v>
      </c>
      <c r="D525" t="s">
        <v>17</v>
      </c>
      <c r="E525" t="s">
        <v>72</v>
      </c>
      <c r="F525" t="s">
        <v>767</v>
      </c>
      <c r="G525">
        <v>430</v>
      </c>
      <c r="H525" t="s">
        <v>29</v>
      </c>
      <c r="I525" t="s">
        <v>39</v>
      </c>
      <c r="J525" t="s">
        <v>49</v>
      </c>
      <c r="K525" s="4">
        <v>22.03</v>
      </c>
      <c r="L525" t="s">
        <v>1365</v>
      </c>
      <c r="M525" s="1">
        <v>46282</v>
      </c>
      <c r="N525" t="s">
        <v>24</v>
      </c>
      <c r="O525" t="s">
        <v>33</v>
      </c>
    </row>
    <row r="526" spans="1:15" x14ac:dyDescent="0.25">
      <c r="A526" t="s">
        <v>1366</v>
      </c>
      <c r="B526" t="s">
        <v>53</v>
      </c>
      <c r="C526">
        <v>2004</v>
      </c>
      <c r="D526" t="s">
        <v>83</v>
      </c>
      <c r="E526" t="s">
        <v>99</v>
      </c>
      <c r="F526" t="s">
        <v>939</v>
      </c>
      <c r="G526">
        <v>130</v>
      </c>
      <c r="H526" t="s">
        <v>20</v>
      </c>
      <c r="I526" t="s">
        <v>48</v>
      </c>
      <c r="J526" t="s">
        <v>49</v>
      </c>
      <c r="K526" s="4">
        <v>79.540000000000006</v>
      </c>
      <c r="L526" t="s">
        <v>1367</v>
      </c>
      <c r="M526" s="1">
        <v>46637</v>
      </c>
      <c r="N526" t="s">
        <v>24</v>
      </c>
      <c r="O526" t="s">
        <v>51</v>
      </c>
    </row>
    <row r="527" spans="1:15" x14ac:dyDescent="0.25">
      <c r="A527" t="s">
        <v>1368</v>
      </c>
      <c r="B527" t="s">
        <v>70</v>
      </c>
      <c r="C527">
        <v>2022</v>
      </c>
      <c r="D527" t="s">
        <v>83</v>
      </c>
      <c r="E527" t="s">
        <v>99</v>
      </c>
      <c r="F527" t="s">
        <v>1369</v>
      </c>
      <c r="G527">
        <v>840</v>
      </c>
      <c r="H527" t="s">
        <v>56</v>
      </c>
      <c r="I527" t="s">
        <v>21</v>
      </c>
      <c r="J527" t="s">
        <v>146</v>
      </c>
      <c r="K527" s="4">
        <v>246.94</v>
      </c>
      <c r="L527" t="s">
        <v>1370</v>
      </c>
      <c r="M527" s="1">
        <v>46783</v>
      </c>
      <c r="N527" t="s">
        <v>24</v>
      </c>
      <c r="O527" t="s">
        <v>25</v>
      </c>
    </row>
    <row r="528" spans="1:15" x14ac:dyDescent="0.25">
      <c r="A528" t="s">
        <v>1371</v>
      </c>
      <c r="B528" t="s">
        <v>43</v>
      </c>
      <c r="C528">
        <v>2002</v>
      </c>
      <c r="D528" t="s">
        <v>95</v>
      </c>
      <c r="E528" t="s">
        <v>18</v>
      </c>
      <c r="F528" t="s">
        <v>783</v>
      </c>
      <c r="G528">
        <v>130</v>
      </c>
      <c r="H528" t="s">
        <v>47</v>
      </c>
      <c r="I528" t="s">
        <v>86</v>
      </c>
      <c r="J528" t="s">
        <v>92</v>
      </c>
      <c r="K528" s="4">
        <v>381.2</v>
      </c>
      <c r="L528" t="s">
        <v>1372</v>
      </c>
      <c r="M528" s="1">
        <v>45974</v>
      </c>
      <c r="N528" t="s">
        <v>41</v>
      </c>
      <c r="O528" t="s">
        <v>25</v>
      </c>
    </row>
    <row r="529" spans="1:15" x14ac:dyDescent="0.25">
      <c r="A529" t="s">
        <v>1373</v>
      </c>
      <c r="B529" t="s">
        <v>134</v>
      </c>
      <c r="C529">
        <v>2001</v>
      </c>
      <c r="D529" t="s">
        <v>95</v>
      </c>
      <c r="E529" t="s">
        <v>60</v>
      </c>
      <c r="F529" t="s">
        <v>139</v>
      </c>
      <c r="G529">
        <v>30</v>
      </c>
      <c r="H529" t="s">
        <v>29</v>
      </c>
      <c r="I529" t="s">
        <v>151</v>
      </c>
      <c r="J529" t="s">
        <v>49</v>
      </c>
      <c r="K529" s="4">
        <v>459.46</v>
      </c>
      <c r="L529" t="s">
        <v>1374</v>
      </c>
      <c r="M529" s="1">
        <v>45919</v>
      </c>
      <c r="N529" t="s">
        <v>41</v>
      </c>
      <c r="O529" t="s">
        <v>33</v>
      </c>
    </row>
    <row r="530" spans="1:15" x14ac:dyDescent="0.25">
      <c r="A530" t="s">
        <v>1178</v>
      </c>
      <c r="B530" t="s">
        <v>77</v>
      </c>
      <c r="C530">
        <v>1990</v>
      </c>
      <c r="D530" t="s">
        <v>44</v>
      </c>
      <c r="E530" t="s">
        <v>119</v>
      </c>
      <c r="F530" t="s">
        <v>19</v>
      </c>
      <c r="G530">
        <v>680</v>
      </c>
      <c r="H530" t="s">
        <v>20</v>
      </c>
      <c r="I530" t="s">
        <v>48</v>
      </c>
      <c r="J530" t="s">
        <v>110</v>
      </c>
      <c r="K530" s="4">
        <v>59.47</v>
      </c>
      <c r="L530" t="s">
        <v>1375</v>
      </c>
      <c r="M530" s="1">
        <v>46757</v>
      </c>
      <c r="N530" t="s">
        <v>41</v>
      </c>
      <c r="O530" t="s">
        <v>51</v>
      </c>
    </row>
    <row r="531" spans="1:15" x14ac:dyDescent="0.25">
      <c r="A531" t="s">
        <v>1376</v>
      </c>
      <c r="B531" t="s">
        <v>53</v>
      </c>
      <c r="C531">
        <v>2002</v>
      </c>
      <c r="D531" t="s">
        <v>66</v>
      </c>
      <c r="E531" t="s">
        <v>78</v>
      </c>
      <c r="F531" t="s">
        <v>1216</v>
      </c>
      <c r="G531">
        <v>630</v>
      </c>
      <c r="H531" t="s">
        <v>85</v>
      </c>
      <c r="I531" t="s">
        <v>91</v>
      </c>
      <c r="J531" t="s">
        <v>31</v>
      </c>
      <c r="K531" s="4">
        <v>484.65</v>
      </c>
      <c r="L531" t="s">
        <v>1377</v>
      </c>
      <c r="M531" s="1">
        <v>46008</v>
      </c>
      <c r="N531" t="s">
        <v>75</v>
      </c>
      <c r="O531" t="s">
        <v>51</v>
      </c>
    </row>
    <row r="532" spans="1:15" x14ac:dyDescent="0.25">
      <c r="A532" t="s">
        <v>1378</v>
      </c>
      <c r="B532" t="s">
        <v>138</v>
      </c>
      <c r="C532">
        <v>2009</v>
      </c>
      <c r="D532" t="s">
        <v>66</v>
      </c>
      <c r="E532" t="s">
        <v>54</v>
      </c>
      <c r="F532" t="s">
        <v>145</v>
      </c>
      <c r="G532">
        <v>340</v>
      </c>
      <c r="H532" t="s">
        <v>56</v>
      </c>
      <c r="I532" t="s">
        <v>186</v>
      </c>
      <c r="J532" t="s">
        <v>110</v>
      </c>
      <c r="K532" s="4">
        <v>372.08</v>
      </c>
      <c r="L532" t="s">
        <v>1379</v>
      </c>
      <c r="M532" s="1">
        <v>46153</v>
      </c>
      <c r="N532" t="s">
        <v>75</v>
      </c>
      <c r="O532" t="s">
        <v>33</v>
      </c>
    </row>
    <row r="533" spans="1:15" x14ac:dyDescent="0.25">
      <c r="A533" t="s">
        <v>1380</v>
      </c>
      <c r="B533" t="s">
        <v>59</v>
      </c>
      <c r="C533">
        <v>2002</v>
      </c>
      <c r="D533" t="s">
        <v>83</v>
      </c>
      <c r="E533" t="s">
        <v>72</v>
      </c>
      <c r="F533" t="s">
        <v>493</v>
      </c>
      <c r="G533">
        <v>200</v>
      </c>
      <c r="H533" t="s">
        <v>62</v>
      </c>
      <c r="I533" t="s">
        <v>48</v>
      </c>
      <c r="J533" t="s">
        <v>63</v>
      </c>
      <c r="K533" s="4">
        <v>117.6</v>
      </c>
      <c r="L533" t="s">
        <v>1381</v>
      </c>
      <c r="M533" s="1">
        <v>46747</v>
      </c>
      <c r="N533" t="s">
        <v>41</v>
      </c>
      <c r="O533" t="s">
        <v>51</v>
      </c>
    </row>
    <row r="534" spans="1:15" x14ac:dyDescent="0.25">
      <c r="A534" t="s">
        <v>1382</v>
      </c>
      <c r="B534" t="s">
        <v>138</v>
      </c>
      <c r="C534">
        <v>2006</v>
      </c>
      <c r="D534" t="s">
        <v>44</v>
      </c>
      <c r="E534" t="s">
        <v>116</v>
      </c>
      <c r="F534" t="s">
        <v>603</v>
      </c>
      <c r="G534">
        <v>410</v>
      </c>
      <c r="H534" t="s">
        <v>20</v>
      </c>
      <c r="I534" t="s">
        <v>48</v>
      </c>
      <c r="J534" t="s">
        <v>110</v>
      </c>
      <c r="K534" s="4">
        <v>425.38</v>
      </c>
      <c r="L534" t="s">
        <v>1383</v>
      </c>
      <c r="M534" s="1">
        <v>46022</v>
      </c>
      <c r="N534" t="s">
        <v>24</v>
      </c>
      <c r="O534" t="s">
        <v>25</v>
      </c>
    </row>
    <row r="535" spans="1:15" x14ac:dyDescent="0.25">
      <c r="A535" t="s">
        <v>1349</v>
      </c>
      <c r="B535" t="s">
        <v>35</v>
      </c>
      <c r="C535">
        <v>2011</v>
      </c>
      <c r="D535" t="s">
        <v>66</v>
      </c>
      <c r="E535" t="s">
        <v>119</v>
      </c>
      <c r="F535" t="s">
        <v>994</v>
      </c>
      <c r="G535">
        <v>760</v>
      </c>
      <c r="H535" t="s">
        <v>29</v>
      </c>
      <c r="I535" t="s">
        <v>91</v>
      </c>
      <c r="J535" t="s">
        <v>49</v>
      </c>
      <c r="K535" s="4">
        <v>44.46</v>
      </c>
      <c r="L535" t="s">
        <v>1384</v>
      </c>
      <c r="M535" s="1">
        <v>46679</v>
      </c>
      <c r="N535" t="s">
        <v>24</v>
      </c>
      <c r="O535" t="s">
        <v>33</v>
      </c>
    </row>
    <row r="536" spans="1:15" x14ac:dyDescent="0.25">
      <c r="A536" t="s">
        <v>1385</v>
      </c>
      <c r="B536" t="s">
        <v>53</v>
      </c>
      <c r="C536">
        <v>2007</v>
      </c>
      <c r="D536" t="s">
        <v>44</v>
      </c>
      <c r="E536" t="s">
        <v>72</v>
      </c>
      <c r="F536" t="s">
        <v>79</v>
      </c>
      <c r="G536">
        <v>230</v>
      </c>
      <c r="H536" t="s">
        <v>85</v>
      </c>
      <c r="I536" t="s">
        <v>48</v>
      </c>
      <c r="J536" t="s">
        <v>63</v>
      </c>
      <c r="K536" s="4">
        <v>474.81</v>
      </c>
      <c r="L536" t="s">
        <v>1386</v>
      </c>
      <c r="M536" s="1">
        <v>46790</v>
      </c>
      <c r="N536" t="s">
        <v>75</v>
      </c>
      <c r="O536" t="s">
        <v>51</v>
      </c>
    </row>
    <row r="537" spans="1:15" x14ac:dyDescent="0.25">
      <c r="A537" t="s">
        <v>512</v>
      </c>
      <c r="B537" t="s">
        <v>43</v>
      </c>
      <c r="C537">
        <v>1993</v>
      </c>
      <c r="D537" t="s">
        <v>44</v>
      </c>
      <c r="E537" t="s">
        <v>72</v>
      </c>
      <c r="F537" t="s">
        <v>1387</v>
      </c>
      <c r="G537">
        <v>920</v>
      </c>
      <c r="H537" t="s">
        <v>38</v>
      </c>
      <c r="I537" t="s">
        <v>86</v>
      </c>
      <c r="J537" t="s">
        <v>22</v>
      </c>
      <c r="K537" s="4">
        <v>444.52</v>
      </c>
      <c r="L537" t="s">
        <v>1388</v>
      </c>
      <c r="M537" s="1">
        <v>46210</v>
      </c>
      <c r="N537" t="s">
        <v>75</v>
      </c>
      <c r="O537" t="s">
        <v>25</v>
      </c>
    </row>
    <row r="538" spans="1:15" x14ac:dyDescent="0.25">
      <c r="A538" t="s">
        <v>1389</v>
      </c>
      <c r="B538" t="s">
        <v>134</v>
      </c>
      <c r="C538">
        <v>2004</v>
      </c>
      <c r="D538" t="s">
        <v>95</v>
      </c>
      <c r="E538" t="s">
        <v>104</v>
      </c>
      <c r="F538" t="s">
        <v>722</v>
      </c>
      <c r="G538">
        <v>740</v>
      </c>
      <c r="H538" t="s">
        <v>29</v>
      </c>
      <c r="I538" t="s">
        <v>151</v>
      </c>
      <c r="J538" t="s">
        <v>49</v>
      </c>
      <c r="K538" s="4">
        <v>332.72</v>
      </c>
      <c r="L538" t="s">
        <v>1390</v>
      </c>
      <c r="M538" s="1">
        <v>46661</v>
      </c>
      <c r="N538" t="s">
        <v>24</v>
      </c>
      <c r="O538" t="s">
        <v>51</v>
      </c>
    </row>
    <row r="539" spans="1:15" x14ac:dyDescent="0.25">
      <c r="A539" t="s">
        <v>1391</v>
      </c>
      <c r="B539" t="s">
        <v>98</v>
      </c>
      <c r="C539">
        <v>2024</v>
      </c>
      <c r="D539" t="s">
        <v>27</v>
      </c>
      <c r="E539" t="s">
        <v>60</v>
      </c>
      <c r="F539" t="s">
        <v>1392</v>
      </c>
      <c r="G539">
        <v>470</v>
      </c>
      <c r="H539" t="s">
        <v>38</v>
      </c>
      <c r="I539" t="s">
        <v>86</v>
      </c>
      <c r="J539" t="s">
        <v>63</v>
      </c>
      <c r="K539" s="4">
        <v>377.27</v>
      </c>
      <c r="L539" t="s">
        <v>1393</v>
      </c>
      <c r="M539" s="1">
        <v>46404</v>
      </c>
      <c r="N539" t="s">
        <v>75</v>
      </c>
      <c r="O539" t="s">
        <v>25</v>
      </c>
    </row>
    <row r="540" spans="1:15" x14ac:dyDescent="0.25">
      <c r="A540" t="s">
        <v>1394</v>
      </c>
      <c r="B540" t="s">
        <v>59</v>
      </c>
      <c r="C540">
        <v>2015</v>
      </c>
      <c r="D540" t="s">
        <v>89</v>
      </c>
      <c r="E540" t="s">
        <v>116</v>
      </c>
      <c r="F540" t="s">
        <v>250</v>
      </c>
      <c r="G540">
        <v>440</v>
      </c>
      <c r="H540" t="s">
        <v>56</v>
      </c>
      <c r="I540" t="s">
        <v>39</v>
      </c>
      <c r="J540" t="s">
        <v>125</v>
      </c>
      <c r="K540" s="4">
        <v>437.93</v>
      </c>
      <c r="L540" t="s">
        <v>1395</v>
      </c>
      <c r="M540" s="1">
        <v>46114</v>
      </c>
      <c r="N540" t="s">
        <v>75</v>
      </c>
      <c r="O540" t="s">
        <v>33</v>
      </c>
    </row>
    <row r="541" spans="1:15" x14ac:dyDescent="0.25">
      <c r="A541" t="s">
        <v>1396</v>
      </c>
      <c r="B541" t="s">
        <v>98</v>
      </c>
      <c r="C541">
        <v>2017</v>
      </c>
      <c r="D541" t="s">
        <v>83</v>
      </c>
      <c r="E541" t="s">
        <v>60</v>
      </c>
      <c r="F541" t="s">
        <v>1397</v>
      </c>
      <c r="G541">
        <v>130</v>
      </c>
      <c r="H541" t="s">
        <v>29</v>
      </c>
      <c r="I541" t="s">
        <v>151</v>
      </c>
      <c r="J541" t="s">
        <v>101</v>
      </c>
      <c r="K541" s="4">
        <v>61.24</v>
      </c>
      <c r="L541" t="s">
        <v>1398</v>
      </c>
      <c r="M541" s="1">
        <v>46939</v>
      </c>
      <c r="N541" t="s">
        <v>24</v>
      </c>
      <c r="O541" t="s">
        <v>33</v>
      </c>
    </row>
    <row r="542" spans="1:15" x14ac:dyDescent="0.25">
      <c r="A542" t="s">
        <v>607</v>
      </c>
      <c r="B542" t="s">
        <v>134</v>
      </c>
      <c r="C542">
        <v>2006</v>
      </c>
      <c r="D542" t="s">
        <v>83</v>
      </c>
      <c r="E542" t="s">
        <v>99</v>
      </c>
      <c r="F542" t="s">
        <v>296</v>
      </c>
      <c r="G542">
        <v>990</v>
      </c>
      <c r="H542" t="s">
        <v>29</v>
      </c>
      <c r="I542" t="s">
        <v>21</v>
      </c>
      <c r="J542" t="s">
        <v>22</v>
      </c>
      <c r="K542" s="4">
        <v>152.01</v>
      </c>
      <c r="L542" t="s">
        <v>1399</v>
      </c>
      <c r="M542" s="1">
        <v>46138</v>
      </c>
      <c r="N542" t="s">
        <v>41</v>
      </c>
      <c r="O542" t="s">
        <v>51</v>
      </c>
    </row>
    <row r="543" spans="1:15" x14ac:dyDescent="0.25">
      <c r="A543" t="s">
        <v>1400</v>
      </c>
      <c r="B543" t="s">
        <v>43</v>
      </c>
      <c r="C543">
        <v>2021</v>
      </c>
      <c r="D543" t="s">
        <v>83</v>
      </c>
      <c r="E543" t="s">
        <v>54</v>
      </c>
      <c r="F543" t="s">
        <v>250</v>
      </c>
      <c r="G543">
        <v>320</v>
      </c>
      <c r="H543" t="s">
        <v>20</v>
      </c>
      <c r="I543" t="s">
        <v>80</v>
      </c>
      <c r="J543" t="s">
        <v>125</v>
      </c>
      <c r="K543" s="4">
        <v>393.3</v>
      </c>
      <c r="L543" t="s">
        <v>1401</v>
      </c>
      <c r="M543" s="1">
        <v>46576</v>
      </c>
      <c r="N543" t="s">
        <v>24</v>
      </c>
      <c r="O543" t="s">
        <v>33</v>
      </c>
    </row>
    <row r="544" spans="1:15" x14ac:dyDescent="0.25">
      <c r="A544" t="s">
        <v>1402</v>
      </c>
      <c r="B544" t="s">
        <v>70</v>
      </c>
      <c r="C544">
        <v>2007</v>
      </c>
      <c r="D544" t="s">
        <v>71</v>
      </c>
      <c r="E544" t="s">
        <v>45</v>
      </c>
      <c r="F544" t="s">
        <v>1403</v>
      </c>
      <c r="G544">
        <v>560</v>
      </c>
      <c r="H544" t="s">
        <v>47</v>
      </c>
      <c r="I544" t="s">
        <v>21</v>
      </c>
      <c r="J544" t="s">
        <v>121</v>
      </c>
      <c r="K544" s="4">
        <v>35.549999999999997</v>
      </c>
      <c r="L544" t="s">
        <v>1404</v>
      </c>
      <c r="M544" s="1">
        <v>46935</v>
      </c>
      <c r="N544" t="s">
        <v>41</v>
      </c>
      <c r="O544" t="s">
        <v>33</v>
      </c>
    </row>
    <row r="545" spans="1:15" x14ac:dyDescent="0.25">
      <c r="A545" t="s">
        <v>989</v>
      </c>
      <c r="B545" t="s">
        <v>16</v>
      </c>
      <c r="C545">
        <v>2022</v>
      </c>
      <c r="D545" t="s">
        <v>71</v>
      </c>
      <c r="E545" t="s">
        <v>18</v>
      </c>
      <c r="F545" t="s">
        <v>180</v>
      </c>
      <c r="G545">
        <v>200</v>
      </c>
      <c r="H545" t="s">
        <v>47</v>
      </c>
      <c r="I545" t="s">
        <v>86</v>
      </c>
      <c r="J545" t="s">
        <v>110</v>
      </c>
      <c r="K545" s="4">
        <v>81.67</v>
      </c>
      <c r="L545" t="s">
        <v>1405</v>
      </c>
      <c r="M545" s="1">
        <v>46009</v>
      </c>
      <c r="N545" t="s">
        <v>75</v>
      </c>
      <c r="O545" t="s">
        <v>51</v>
      </c>
    </row>
    <row r="546" spans="1:15" x14ac:dyDescent="0.25">
      <c r="A546" t="s">
        <v>1406</v>
      </c>
      <c r="B546" t="s">
        <v>35</v>
      </c>
      <c r="C546">
        <v>2016</v>
      </c>
      <c r="D546" t="s">
        <v>66</v>
      </c>
      <c r="E546" t="s">
        <v>119</v>
      </c>
      <c r="F546" t="s">
        <v>336</v>
      </c>
      <c r="G546">
        <v>420</v>
      </c>
      <c r="H546" t="s">
        <v>56</v>
      </c>
      <c r="I546" t="s">
        <v>86</v>
      </c>
      <c r="J546" t="s">
        <v>49</v>
      </c>
      <c r="K546" s="4">
        <v>107.9</v>
      </c>
      <c r="L546" t="s">
        <v>1407</v>
      </c>
      <c r="M546" s="1">
        <v>45933</v>
      </c>
      <c r="N546" t="s">
        <v>75</v>
      </c>
      <c r="O546" t="s">
        <v>33</v>
      </c>
    </row>
    <row r="547" spans="1:15" x14ac:dyDescent="0.25">
      <c r="A547" t="s">
        <v>1408</v>
      </c>
      <c r="B547" t="s">
        <v>138</v>
      </c>
      <c r="C547">
        <v>2013</v>
      </c>
      <c r="D547" t="s">
        <v>108</v>
      </c>
      <c r="E547" t="s">
        <v>18</v>
      </c>
      <c r="F547" t="s">
        <v>1409</v>
      </c>
      <c r="G547">
        <v>320</v>
      </c>
      <c r="H547" t="s">
        <v>47</v>
      </c>
      <c r="I547" t="s">
        <v>91</v>
      </c>
      <c r="J547" t="s">
        <v>121</v>
      </c>
      <c r="K547" s="4">
        <v>351.45</v>
      </c>
      <c r="L547" t="s">
        <v>1410</v>
      </c>
      <c r="M547" s="1">
        <v>46889</v>
      </c>
      <c r="N547" t="s">
        <v>75</v>
      </c>
      <c r="O547" t="s">
        <v>25</v>
      </c>
    </row>
    <row r="548" spans="1:15" x14ac:dyDescent="0.25">
      <c r="A548" t="s">
        <v>1411</v>
      </c>
      <c r="B548" t="s">
        <v>16</v>
      </c>
      <c r="C548">
        <v>1999</v>
      </c>
      <c r="D548" t="s">
        <v>44</v>
      </c>
      <c r="E548" t="s">
        <v>78</v>
      </c>
      <c r="F548" t="s">
        <v>1412</v>
      </c>
      <c r="G548">
        <v>990</v>
      </c>
      <c r="H548" t="s">
        <v>20</v>
      </c>
      <c r="I548" t="s">
        <v>91</v>
      </c>
      <c r="J548" t="s">
        <v>146</v>
      </c>
      <c r="K548" s="4">
        <v>197.24</v>
      </c>
      <c r="L548" t="s">
        <v>1413</v>
      </c>
      <c r="M548" s="1">
        <v>46174</v>
      </c>
      <c r="N548" t="s">
        <v>24</v>
      </c>
      <c r="O548" t="s">
        <v>33</v>
      </c>
    </row>
    <row r="549" spans="1:15" x14ac:dyDescent="0.25">
      <c r="A549" t="s">
        <v>1414</v>
      </c>
      <c r="B549" t="s">
        <v>77</v>
      </c>
      <c r="C549">
        <v>2013</v>
      </c>
      <c r="D549" t="s">
        <v>27</v>
      </c>
      <c r="E549" t="s">
        <v>104</v>
      </c>
      <c r="F549" t="s">
        <v>61</v>
      </c>
      <c r="G549">
        <v>720</v>
      </c>
      <c r="H549" t="s">
        <v>20</v>
      </c>
      <c r="I549" t="s">
        <v>86</v>
      </c>
      <c r="J549" t="s">
        <v>146</v>
      </c>
      <c r="K549" s="4">
        <v>355.71</v>
      </c>
      <c r="L549" t="s">
        <v>1415</v>
      </c>
      <c r="M549" s="1">
        <v>46818</v>
      </c>
      <c r="N549" t="s">
        <v>75</v>
      </c>
      <c r="O549" t="s">
        <v>33</v>
      </c>
    </row>
    <row r="550" spans="1:15" x14ac:dyDescent="0.25">
      <c r="A550" t="s">
        <v>1416</v>
      </c>
      <c r="B550" t="s">
        <v>134</v>
      </c>
      <c r="C550">
        <v>1996</v>
      </c>
      <c r="D550" t="s">
        <v>108</v>
      </c>
      <c r="E550" t="s">
        <v>99</v>
      </c>
      <c r="F550" t="s">
        <v>244</v>
      </c>
      <c r="G550">
        <v>260</v>
      </c>
      <c r="H550" t="s">
        <v>47</v>
      </c>
      <c r="I550" t="s">
        <v>39</v>
      </c>
      <c r="J550" t="s">
        <v>146</v>
      </c>
      <c r="K550" s="4">
        <v>464.43</v>
      </c>
      <c r="L550" t="s">
        <v>1417</v>
      </c>
      <c r="M550" s="1">
        <v>45938</v>
      </c>
      <c r="N550" t="s">
        <v>75</v>
      </c>
      <c r="O550" t="s">
        <v>25</v>
      </c>
    </row>
    <row r="551" spans="1:15" x14ac:dyDescent="0.25">
      <c r="A551" t="s">
        <v>1418</v>
      </c>
      <c r="B551" t="s">
        <v>43</v>
      </c>
      <c r="C551">
        <v>1991</v>
      </c>
      <c r="D551" t="s">
        <v>95</v>
      </c>
      <c r="E551" t="s">
        <v>45</v>
      </c>
      <c r="F551" t="s">
        <v>180</v>
      </c>
      <c r="G551">
        <v>930</v>
      </c>
      <c r="H551" t="s">
        <v>47</v>
      </c>
      <c r="I551" t="s">
        <v>39</v>
      </c>
      <c r="J551" t="s">
        <v>146</v>
      </c>
      <c r="K551" s="4">
        <v>191.42</v>
      </c>
      <c r="L551" t="s">
        <v>1419</v>
      </c>
      <c r="M551" s="1">
        <v>46750</v>
      </c>
      <c r="N551" t="s">
        <v>41</v>
      </c>
      <c r="O551" t="s">
        <v>51</v>
      </c>
    </row>
    <row r="552" spans="1:15" x14ac:dyDescent="0.25">
      <c r="A552" t="s">
        <v>1420</v>
      </c>
      <c r="B552" t="s">
        <v>98</v>
      </c>
      <c r="C552">
        <v>1996</v>
      </c>
      <c r="D552" t="s">
        <v>108</v>
      </c>
      <c r="E552" t="s">
        <v>99</v>
      </c>
      <c r="F552" t="s">
        <v>1421</v>
      </c>
      <c r="G552">
        <v>10</v>
      </c>
      <c r="H552" t="s">
        <v>20</v>
      </c>
      <c r="I552" t="s">
        <v>151</v>
      </c>
      <c r="J552" t="s">
        <v>63</v>
      </c>
      <c r="K552" s="4">
        <v>291.48</v>
      </c>
      <c r="L552" t="s">
        <v>1422</v>
      </c>
      <c r="M552" s="1">
        <v>45934</v>
      </c>
      <c r="N552" t="s">
        <v>24</v>
      </c>
      <c r="O552" t="s">
        <v>33</v>
      </c>
    </row>
    <row r="553" spans="1:15" x14ac:dyDescent="0.25">
      <c r="A553" t="s">
        <v>1423</v>
      </c>
      <c r="B553" t="s">
        <v>70</v>
      </c>
      <c r="C553">
        <v>2000</v>
      </c>
      <c r="D553" t="s">
        <v>17</v>
      </c>
      <c r="E553" t="s">
        <v>116</v>
      </c>
      <c r="F553" t="s">
        <v>342</v>
      </c>
      <c r="G553">
        <v>210</v>
      </c>
      <c r="H553" t="s">
        <v>47</v>
      </c>
      <c r="I553" t="s">
        <v>80</v>
      </c>
      <c r="J553" t="s">
        <v>146</v>
      </c>
      <c r="K553" s="4">
        <v>269.26</v>
      </c>
      <c r="L553" t="s">
        <v>1424</v>
      </c>
      <c r="M553" s="1">
        <v>45920</v>
      </c>
      <c r="N553" t="s">
        <v>41</v>
      </c>
      <c r="O553" t="s">
        <v>51</v>
      </c>
    </row>
    <row r="554" spans="1:15" x14ac:dyDescent="0.25">
      <c r="A554" t="s">
        <v>1425</v>
      </c>
      <c r="B554" t="s">
        <v>59</v>
      </c>
      <c r="C554">
        <v>2017</v>
      </c>
      <c r="D554" t="s">
        <v>108</v>
      </c>
      <c r="E554" t="s">
        <v>119</v>
      </c>
      <c r="F554" t="s">
        <v>145</v>
      </c>
      <c r="G554">
        <v>840</v>
      </c>
      <c r="H554" t="s">
        <v>38</v>
      </c>
      <c r="I554" t="s">
        <v>151</v>
      </c>
      <c r="J554" t="s">
        <v>125</v>
      </c>
      <c r="K554" s="4">
        <v>336.86</v>
      </c>
      <c r="L554" t="s">
        <v>1426</v>
      </c>
      <c r="M554" s="1">
        <v>45965</v>
      </c>
      <c r="N554" t="s">
        <v>75</v>
      </c>
      <c r="O554" t="s">
        <v>25</v>
      </c>
    </row>
    <row r="555" spans="1:15" x14ac:dyDescent="0.25">
      <c r="A555" t="s">
        <v>1427</v>
      </c>
      <c r="B555" t="s">
        <v>35</v>
      </c>
      <c r="C555">
        <v>2011</v>
      </c>
      <c r="D555" t="s">
        <v>36</v>
      </c>
      <c r="E555" t="s">
        <v>104</v>
      </c>
      <c r="F555" t="s">
        <v>1428</v>
      </c>
      <c r="G555">
        <v>580</v>
      </c>
      <c r="H555" t="s">
        <v>20</v>
      </c>
      <c r="I555" t="s">
        <v>186</v>
      </c>
      <c r="J555" t="s">
        <v>121</v>
      </c>
      <c r="K555" s="4">
        <v>64.63</v>
      </c>
      <c r="L555" t="s">
        <v>1429</v>
      </c>
      <c r="M555" s="1">
        <v>46847</v>
      </c>
      <c r="N555" t="s">
        <v>24</v>
      </c>
      <c r="O555" t="s">
        <v>51</v>
      </c>
    </row>
    <row r="556" spans="1:15" x14ac:dyDescent="0.25">
      <c r="A556" t="s">
        <v>1430</v>
      </c>
      <c r="B556" t="s">
        <v>43</v>
      </c>
      <c r="C556">
        <v>1992</v>
      </c>
      <c r="D556" t="s">
        <v>66</v>
      </c>
      <c r="E556" t="s">
        <v>54</v>
      </c>
      <c r="F556" t="s">
        <v>470</v>
      </c>
      <c r="G556">
        <v>390</v>
      </c>
      <c r="H556" t="s">
        <v>29</v>
      </c>
      <c r="I556" t="s">
        <v>48</v>
      </c>
      <c r="J556" t="s">
        <v>110</v>
      </c>
      <c r="K556" s="4">
        <v>352.79</v>
      </c>
      <c r="L556" t="s">
        <v>1431</v>
      </c>
      <c r="M556" s="1">
        <v>46920</v>
      </c>
      <c r="N556" t="s">
        <v>75</v>
      </c>
      <c r="O556" t="s">
        <v>25</v>
      </c>
    </row>
    <row r="557" spans="1:15" x14ac:dyDescent="0.25">
      <c r="A557" t="s">
        <v>1432</v>
      </c>
      <c r="B557" t="s">
        <v>16</v>
      </c>
      <c r="C557">
        <v>2016</v>
      </c>
      <c r="D557" t="s">
        <v>83</v>
      </c>
      <c r="E557" t="s">
        <v>54</v>
      </c>
      <c r="F557" t="s">
        <v>421</v>
      </c>
      <c r="G557">
        <v>770</v>
      </c>
      <c r="H557" t="s">
        <v>38</v>
      </c>
      <c r="I557" t="s">
        <v>30</v>
      </c>
      <c r="J557" t="s">
        <v>63</v>
      </c>
      <c r="K557" s="4">
        <v>149.96</v>
      </c>
      <c r="L557" t="s">
        <v>1433</v>
      </c>
      <c r="M557" s="1">
        <v>46570</v>
      </c>
      <c r="N557" t="s">
        <v>41</v>
      </c>
      <c r="O557" t="s">
        <v>33</v>
      </c>
    </row>
    <row r="558" spans="1:15" x14ac:dyDescent="0.25">
      <c r="A558" t="s">
        <v>1434</v>
      </c>
      <c r="B558" t="s">
        <v>43</v>
      </c>
      <c r="C558">
        <v>2014</v>
      </c>
      <c r="D558" t="s">
        <v>36</v>
      </c>
      <c r="E558" t="s">
        <v>78</v>
      </c>
      <c r="F558" t="s">
        <v>1435</v>
      </c>
      <c r="G558">
        <v>290</v>
      </c>
      <c r="H558" t="s">
        <v>38</v>
      </c>
      <c r="I558" t="s">
        <v>39</v>
      </c>
      <c r="J558" t="s">
        <v>63</v>
      </c>
      <c r="K558" s="4">
        <v>188.65</v>
      </c>
      <c r="L558" t="s">
        <v>1436</v>
      </c>
      <c r="M558" s="1">
        <v>46531</v>
      </c>
      <c r="N558" t="s">
        <v>24</v>
      </c>
      <c r="O558" t="s">
        <v>25</v>
      </c>
    </row>
    <row r="559" spans="1:15" x14ac:dyDescent="0.25">
      <c r="A559" t="s">
        <v>1437</v>
      </c>
      <c r="B559" t="s">
        <v>59</v>
      </c>
      <c r="C559">
        <v>2010</v>
      </c>
      <c r="D559" t="s">
        <v>17</v>
      </c>
      <c r="E559" t="s">
        <v>45</v>
      </c>
      <c r="F559" t="s">
        <v>79</v>
      </c>
      <c r="G559">
        <v>120</v>
      </c>
      <c r="H559" t="s">
        <v>47</v>
      </c>
      <c r="I559" t="s">
        <v>39</v>
      </c>
      <c r="J559" t="s">
        <v>110</v>
      </c>
      <c r="K559" s="4">
        <v>344.68</v>
      </c>
      <c r="L559" t="s">
        <v>1438</v>
      </c>
      <c r="M559" s="1">
        <v>46832</v>
      </c>
      <c r="N559" t="s">
        <v>41</v>
      </c>
      <c r="O559" t="s">
        <v>25</v>
      </c>
    </row>
    <row r="560" spans="1:15" x14ac:dyDescent="0.25">
      <c r="A560" t="s">
        <v>1439</v>
      </c>
      <c r="B560" t="s">
        <v>77</v>
      </c>
      <c r="C560">
        <v>2015</v>
      </c>
      <c r="D560" t="s">
        <v>83</v>
      </c>
      <c r="E560" t="s">
        <v>116</v>
      </c>
      <c r="F560" t="s">
        <v>162</v>
      </c>
      <c r="G560">
        <v>210</v>
      </c>
      <c r="H560" t="s">
        <v>56</v>
      </c>
      <c r="I560" t="s">
        <v>73</v>
      </c>
      <c r="J560" t="s">
        <v>63</v>
      </c>
      <c r="K560" s="4">
        <v>266.55</v>
      </c>
      <c r="L560" t="s">
        <v>1440</v>
      </c>
      <c r="M560" s="1">
        <v>45994</v>
      </c>
      <c r="N560" t="s">
        <v>24</v>
      </c>
      <c r="O560" t="s">
        <v>25</v>
      </c>
    </row>
    <row r="561" spans="1:15" x14ac:dyDescent="0.25">
      <c r="A561" t="s">
        <v>1441</v>
      </c>
      <c r="B561" t="s">
        <v>138</v>
      </c>
      <c r="C561">
        <v>2017</v>
      </c>
      <c r="D561" t="s">
        <v>89</v>
      </c>
      <c r="E561" t="s">
        <v>116</v>
      </c>
      <c r="F561" t="s">
        <v>929</v>
      </c>
      <c r="G561">
        <v>10</v>
      </c>
      <c r="H561" t="s">
        <v>47</v>
      </c>
      <c r="I561" t="s">
        <v>91</v>
      </c>
      <c r="J561" t="s">
        <v>146</v>
      </c>
      <c r="K561" s="4">
        <v>88.35</v>
      </c>
      <c r="L561" t="s">
        <v>1442</v>
      </c>
      <c r="M561" s="1">
        <v>46456</v>
      </c>
      <c r="N561" t="s">
        <v>75</v>
      </c>
      <c r="O561" t="s">
        <v>25</v>
      </c>
    </row>
    <row r="562" spans="1:15" x14ac:dyDescent="0.25">
      <c r="A562" t="s">
        <v>1443</v>
      </c>
      <c r="B562" t="s">
        <v>59</v>
      </c>
      <c r="C562">
        <v>2007</v>
      </c>
      <c r="D562" t="s">
        <v>71</v>
      </c>
      <c r="E562" t="s">
        <v>104</v>
      </c>
      <c r="F562" t="s">
        <v>783</v>
      </c>
      <c r="G562">
        <v>250</v>
      </c>
      <c r="H562" t="s">
        <v>20</v>
      </c>
      <c r="I562" t="s">
        <v>80</v>
      </c>
      <c r="J562" t="s">
        <v>110</v>
      </c>
      <c r="K562" s="4">
        <v>313.33999999999997</v>
      </c>
      <c r="L562" t="s">
        <v>1444</v>
      </c>
      <c r="M562" s="1">
        <v>46537</v>
      </c>
      <c r="N562" t="s">
        <v>75</v>
      </c>
      <c r="O562" t="s">
        <v>25</v>
      </c>
    </row>
    <row r="563" spans="1:15" x14ac:dyDescent="0.25">
      <c r="A563" t="s">
        <v>1430</v>
      </c>
      <c r="B563" t="s">
        <v>35</v>
      </c>
      <c r="C563">
        <v>2008</v>
      </c>
      <c r="D563" t="s">
        <v>17</v>
      </c>
      <c r="E563" t="s">
        <v>78</v>
      </c>
      <c r="F563" t="s">
        <v>1055</v>
      </c>
      <c r="G563">
        <v>10</v>
      </c>
      <c r="H563" t="s">
        <v>20</v>
      </c>
      <c r="I563" t="s">
        <v>73</v>
      </c>
      <c r="J563" t="s">
        <v>49</v>
      </c>
      <c r="K563" s="4">
        <v>117.14</v>
      </c>
      <c r="L563" t="s">
        <v>1445</v>
      </c>
      <c r="M563" s="1">
        <v>46832</v>
      </c>
      <c r="N563" t="s">
        <v>75</v>
      </c>
      <c r="O563" t="s">
        <v>25</v>
      </c>
    </row>
    <row r="564" spans="1:15" x14ac:dyDescent="0.25">
      <c r="A564" t="s">
        <v>1446</v>
      </c>
      <c r="B564" t="s">
        <v>98</v>
      </c>
      <c r="C564">
        <v>1992</v>
      </c>
      <c r="D564" t="s">
        <v>108</v>
      </c>
      <c r="E564" t="s">
        <v>72</v>
      </c>
      <c r="F564" t="s">
        <v>1447</v>
      </c>
      <c r="G564">
        <v>890</v>
      </c>
      <c r="H564" t="s">
        <v>29</v>
      </c>
      <c r="I564" t="s">
        <v>86</v>
      </c>
      <c r="J564" t="s">
        <v>63</v>
      </c>
      <c r="K564" s="4">
        <v>141.5</v>
      </c>
      <c r="L564" t="s">
        <v>1448</v>
      </c>
      <c r="M564" s="1">
        <v>46772</v>
      </c>
      <c r="N564" t="s">
        <v>41</v>
      </c>
      <c r="O564" t="s">
        <v>51</v>
      </c>
    </row>
    <row r="565" spans="1:15" x14ac:dyDescent="0.25">
      <c r="A565" t="s">
        <v>1449</v>
      </c>
      <c r="B565" t="s">
        <v>16</v>
      </c>
      <c r="C565">
        <v>2006</v>
      </c>
      <c r="D565" t="s">
        <v>83</v>
      </c>
      <c r="E565" t="s">
        <v>78</v>
      </c>
      <c r="F565" t="s">
        <v>391</v>
      </c>
      <c r="G565">
        <v>650</v>
      </c>
      <c r="H565" t="s">
        <v>20</v>
      </c>
      <c r="I565" t="s">
        <v>91</v>
      </c>
      <c r="J565" t="s">
        <v>63</v>
      </c>
      <c r="K565" s="4">
        <v>434.74</v>
      </c>
      <c r="L565" t="s">
        <v>1450</v>
      </c>
      <c r="M565" s="1">
        <v>46807</v>
      </c>
      <c r="N565" t="s">
        <v>41</v>
      </c>
      <c r="O565" t="s">
        <v>33</v>
      </c>
    </row>
    <row r="566" spans="1:15" x14ac:dyDescent="0.25">
      <c r="A566" t="s">
        <v>1451</v>
      </c>
      <c r="B566" t="s">
        <v>35</v>
      </c>
      <c r="C566">
        <v>2020</v>
      </c>
      <c r="D566" t="s">
        <v>36</v>
      </c>
      <c r="E566" t="s">
        <v>99</v>
      </c>
      <c r="F566" t="s">
        <v>67</v>
      </c>
      <c r="G566">
        <v>890</v>
      </c>
      <c r="H566" t="s">
        <v>20</v>
      </c>
      <c r="I566" t="s">
        <v>39</v>
      </c>
      <c r="J566" t="s">
        <v>22</v>
      </c>
      <c r="K566" s="4">
        <v>383.02</v>
      </c>
      <c r="L566" t="s">
        <v>1452</v>
      </c>
      <c r="M566" s="1">
        <v>46706</v>
      </c>
      <c r="N566" t="s">
        <v>75</v>
      </c>
      <c r="O566" t="s">
        <v>25</v>
      </c>
    </row>
    <row r="567" spans="1:15" x14ac:dyDescent="0.25">
      <c r="A567" t="s">
        <v>1453</v>
      </c>
      <c r="B567" t="s">
        <v>134</v>
      </c>
      <c r="C567">
        <v>1990</v>
      </c>
      <c r="D567" t="s">
        <v>17</v>
      </c>
      <c r="E567" t="s">
        <v>104</v>
      </c>
      <c r="F567" t="s">
        <v>962</v>
      </c>
      <c r="G567">
        <v>290</v>
      </c>
      <c r="H567" t="s">
        <v>85</v>
      </c>
      <c r="I567" t="s">
        <v>91</v>
      </c>
      <c r="J567" t="s">
        <v>125</v>
      </c>
      <c r="K567" s="4">
        <v>291.7</v>
      </c>
      <c r="L567" t="s">
        <v>1454</v>
      </c>
      <c r="M567" s="1">
        <v>46294</v>
      </c>
      <c r="N567" t="s">
        <v>75</v>
      </c>
      <c r="O567" t="s">
        <v>25</v>
      </c>
    </row>
    <row r="568" spans="1:15" x14ac:dyDescent="0.25">
      <c r="A568" t="s">
        <v>1455</v>
      </c>
      <c r="B568" t="s">
        <v>98</v>
      </c>
      <c r="C568">
        <v>2001</v>
      </c>
      <c r="D568" t="s">
        <v>89</v>
      </c>
      <c r="E568" t="s">
        <v>45</v>
      </c>
      <c r="F568" t="s">
        <v>1456</v>
      </c>
      <c r="G568">
        <v>540</v>
      </c>
      <c r="H568" t="s">
        <v>20</v>
      </c>
      <c r="I568" t="s">
        <v>30</v>
      </c>
      <c r="J568" t="s">
        <v>125</v>
      </c>
      <c r="K568" s="4">
        <v>124.13</v>
      </c>
      <c r="L568" t="s">
        <v>1457</v>
      </c>
      <c r="M568" s="1">
        <v>45976</v>
      </c>
      <c r="N568" t="s">
        <v>41</v>
      </c>
      <c r="O568" t="s">
        <v>25</v>
      </c>
    </row>
    <row r="569" spans="1:15" x14ac:dyDescent="0.25">
      <c r="A569" t="s">
        <v>1458</v>
      </c>
      <c r="B569" t="s">
        <v>53</v>
      </c>
      <c r="C569">
        <v>2007</v>
      </c>
      <c r="D569" t="s">
        <v>27</v>
      </c>
      <c r="E569" t="s">
        <v>78</v>
      </c>
      <c r="F569" t="s">
        <v>1459</v>
      </c>
      <c r="G569">
        <v>40</v>
      </c>
      <c r="H569" t="s">
        <v>29</v>
      </c>
      <c r="I569" t="s">
        <v>186</v>
      </c>
      <c r="J569" t="s">
        <v>49</v>
      </c>
      <c r="K569" s="4">
        <v>470.52</v>
      </c>
      <c r="L569" t="s">
        <v>1460</v>
      </c>
      <c r="M569" s="1">
        <v>46476</v>
      </c>
      <c r="N569" t="s">
        <v>75</v>
      </c>
      <c r="O569" t="s">
        <v>33</v>
      </c>
    </row>
    <row r="570" spans="1:15" x14ac:dyDescent="0.25">
      <c r="A570" t="s">
        <v>1461</v>
      </c>
      <c r="B570" t="s">
        <v>70</v>
      </c>
      <c r="C570">
        <v>2013</v>
      </c>
      <c r="D570" t="s">
        <v>27</v>
      </c>
      <c r="E570" t="s">
        <v>18</v>
      </c>
      <c r="F570" t="s">
        <v>250</v>
      </c>
      <c r="G570">
        <v>770</v>
      </c>
      <c r="H570" t="s">
        <v>20</v>
      </c>
      <c r="I570" t="s">
        <v>21</v>
      </c>
      <c r="J570" t="s">
        <v>92</v>
      </c>
      <c r="K570" s="4">
        <v>285.73</v>
      </c>
      <c r="L570" t="s">
        <v>1462</v>
      </c>
      <c r="M570" s="1">
        <v>46794</v>
      </c>
      <c r="N570" t="s">
        <v>75</v>
      </c>
      <c r="O570" t="s">
        <v>25</v>
      </c>
    </row>
    <row r="571" spans="1:15" x14ac:dyDescent="0.25">
      <c r="A571" t="s">
        <v>1463</v>
      </c>
      <c r="B571" t="s">
        <v>35</v>
      </c>
      <c r="C571">
        <v>1997</v>
      </c>
      <c r="D571" t="s">
        <v>17</v>
      </c>
      <c r="E571" t="s">
        <v>104</v>
      </c>
      <c r="F571" t="s">
        <v>1464</v>
      </c>
      <c r="G571">
        <v>30</v>
      </c>
      <c r="H571" t="s">
        <v>85</v>
      </c>
      <c r="I571" t="s">
        <v>48</v>
      </c>
      <c r="J571" t="s">
        <v>146</v>
      </c>
      <c r="K571" s="4">
        <v>426.88</v>
      </c>
      <c r="L571" t="s">
        <v>1465</v>
      </c>
      <c r="M571" s="1">
        <v>45875</v>
      </c>
      <c r="N571" t="s">
        <v>75</v>
      </c>
      <c r="O571" t="s">
        <v>33</v>
      </c>
    </row>
    <row r="572" spans="1:15" x14ac:dyDescent="0.25">
      <c r="A572" t="s">
        <v>1466</v>
      </c>
      <c r="B572" t="s">
        <v>16</v>
      </c>
      <c r="C572">
        <v>2023</v>
      </c>
      <c r="D572" t="s">
        <v>44</v>
      </c>
      <c r="E572" t="s">
        <v>18</v>
      </c>
      <c r="F572" t="s">
        <v>1467</v>
      </c>
      <c r="G572">
        <v>280</v>
      </c>
      <c r="H572" t="s">
        <v>62</v>
      </c>
      <c r="I572" t="s">
        <v>186</v>
      </c>
      <c r="J572" t="s">
        <v>92</v>
      </c>
      <c r="K572" s="4">
        <v>307.64</v>
      </c>
      <c r="L572" t="s">
        <v>1468</v>
      </c>
      <c r="M572" s="1">
        <v>46696</v>
      </c>
      <c r="N572" t="s">
        <v>41</v>
      </c>
      <c r="O572" t="s">
        <v>51</v>
      </c>
    </row>
    <row r="573" spans="1:15" x14ac:dyDescent="0.25">
      <c r="A573" t="s">
        <v>1469</v>
      </c>
      <c r="B573" t="s">
        <v>98</v>
      </c>
      <c r="C573">
        <v>1992</v>
      </c>
      <c r="D573" t="s">
        <v>71</v>
      </c>
      <c r="E573" t="s">
        <v>60</v>
      </c>
      <c r="F573" t="s">
        <v>28</v>
      </c>
      <c r="G573">
        <v>740</v>
      </c>
      <c r="H573" t="s">
        <v>56</v>
      </c>
      <c r="I573" t="s">
        <v>91</v>
      </c>
      <c r="J573" t="s">
        <v>31</v>
      </c>
      <c r="K573" s="4">
        <v>262.27</v>
      </c>
      <c r="L573" t="s">
        <v>1470</v>
      </c>
      <c r="M573" s="1">
        <v>46136</v>
      </c>
      <c r="N573" t="s">
        <v>24</v>
      </c>
      <c r="O573" t="s">
        <v>51</v>
      </c>
    </row>
    <row r="574" spans="1:15" x14ac:dyDescent="0.25">
      <c r="A574" t="s">
        <v>1471</v>
      </c>
      <c r="B574" t="s">
        <v>16</v>
      </c>
      <c r="C574">
        <v>1995</v>
      </c>
      <c r="D574" t="s">
        <v>66</v>
      </c>
      <c r="E574" t="s">
        <v>72</v>
      </c>
      <c r="F574" t="s">
        <v>139</v>
      </c>
      <c r="G574">
        <v>20</v>
      </c>
      <c r="H574" t="s">
        <v>47</v>
      </c>
      <c r="I574" t="s">
        <v>151</v>
      </c>
      <c r="J574" t="s">
        <v>49</v>
      </c>
      <c r="K574" s="4">
        <v>321.88</v>
      </c>
      <c r="L574" t="s">
        <v>1472</v>
      </c>
      <c r="M574" s="1">
        <v>46184</v>
      </c>
      <c r="N574" t="s">
        <v>24</v>
      </c>
      <c r="O574" t="s">
        <v>25</v>
      </c>
    </row>
    <row r="575" spans="1:15" x14ac:dyDescent="0.25">
      <c r="A575" t="s">
        <v>1473</v>
      </c>
      <c r="B575" t="s">
        <v>59</v>
      </c>
      <c r="C575">
        <v>2022</v>
      </c>
      <c r="D575" t="s">
        <v>71</v>
      </c>
      <c r="E575" t="s">
        <v>78</v>
      </c>
      <c r="F575" t="s">
        <v>28</v>
      </c>
      <c r="G575">
        <v>30</v>
      </c>
      <c r="H575" t="s">
        <v>20</v>
      </c>
      <c r="I575" t="s">
        <v>80</v>
      </c>
      <c r="J575" t="s">
        <v>49</v>
      </c>
      <c r="K575" s="4">
        <v>170.31</v>
      </c>
      <c r="L575" t="s">
        <v>1474</v>
      </c>
      <c r="M575" s="1">
        <v>46058</v>
      </c>
      <c r="N575" t="s">
        <v>41</v>
      </c>
      <c r="O575" t="s">
        <v>51</v>
      </c>
    </row>
    <row r="576" spans="1:15" x14ac:dyDescent="0.25">
      <c r="A576" t="s">
        <v>1475</v>
      </c>
      <c r="B576" t="s">
        <v>16</v>
      </c>
      <c r="C576">
        <v>2011</v>
      </c>
      <c r="D576" t="s">
        <v>17</v>
      </c>
      <c r="E576" t="s">
        <v>119</v>
      </c>
      <c r="F576" t="s">
        <v>722</v>
      </c>
      <c r="G576">
        <v>210</v>
      </c>
      <c r="H576" t="s">
        <v>38</v>
      </c>
      <c r="I576" t="s">
        <v>80</v>
      </c>
      <c r="J576" t="s">
        <v>22</v>
      </c>
      <c r="K576" s="4">
        <v>329.52</v>
      </c>
      <c r="L576" t="s">
        <v>1476</v>
      </c>
      <c r="M576" s="1">
        <v>46110</v>
      </c>
      <c r="N576" t="s">
        <v>75</v>
      </c>
      <c r="O576" t="s">
        <v>51</v>
      </c>
    </row>
    <row r="577" spans="1:15" x14ac:dyDescent="0.25">
      <c r="A577" t="s">
        <v>1477</v>
      </c>
      <c r="B577" t="s">
        <v>77</v>
      </c>
      <c r="C577">
        <v>2007</v>
      </c>
      <c r="D577" t="s">
        <v>36</v>
      </c>
      <c r="E577" t="s">
        <v>99</v>
      </c>
      <c r="F577" t="s">
        <v>145</v>
      </c>
      <c r="G577">
        <v>140</v>
      </c>
      <c r="H577" t="s">
        <v>29</v>
      </c>
      <c r="I577" t="s">
        <v>91</v>
      </c>
      <c r="J577" t="s">
        <v>101</v>
      </c>
      <c r="K577" s="4">
        <v>96.95</v>
      </c>
      <c r="L577" t="s">
        <v>1478</v>
      </c>
      <c r="M577" s="1">
        <v>46956</v>
      </c>
      <c r="N577" t="s">
        <v>41</v>
      </c>
      <c r="O577" t="s">
        <v>33</v>
      </c>
    </row>
    <row r="578" spans="1:15" x14ac:dyDescent="0.25">
      <c r="A578" t="s">
        <v>1479</v>
      </c>
      <c r="B578" t="s">
        <v>70</v>
      </c>
      <c r="C578">
        <v>2013</v>
      </c>
      <c r="D578" t="s">
        <v>27</v>
      </c>
      <c r="E578" t="s">
        <v>99</v>
      </c>
      <c r="F578" t="s">
        <v>180</v>
      </c>
      <c r="G578">
        <v>450</v>
      </c>
      <c r="H578" t="s">
        <v>56</v>
      </c>
      <c r="I578" t="s">
        <v>21</v>
      </c>
      <c r="J578" t="s">
        <v>63</v>
      </c>
      <c r="K578" s="4">
        <v>63.34</v>
      </c>
      <c r="L578" t="s">
        <v>1480</v>
      </c>
      <c r="M578" s="1">
        <v>46665</v>
      </c>
      <c r="N578" t="s">
        <v>24</v>
      </c>
      <c r="O578" t="s">
        <v>25</v>
      </c>
    </row>
    <row r="579" spans="1:15" x14ac:dyDescent="0.25">
      <c r="A579" t="s">
        <v>1481</v>
      </c>
      <c r="B579" t="s">
        <v>59</v>
      </c>
      <c r="C579">
        <v>1994</v>
      </c>
      <c r="D579" t="s">
        <v>27</v>
      </c>
      <c r="E579" t="s">
        <v>78</v>
      </c>
      <c r="F579" t="s">
        <v>124</v>
      </c>
      <c r="G579">
        <v>970</v>
      </c>
      <c r="H579" t="s">
        <v>47</v>
      </c>
      <c r="I579" t="s">
        <v>91</v>
      </c>
      <c r="J579" t="s">
        <v>125</v>
      </c>
      <c r="K579" s="4">
        <v>475.18</v>
      </c>
      <c r="L579" t="s">
        <v>1482</v>
      </c>
      <c r="M579" s="1">
        <v>46351</v>
      </c>
      <c r="N579" t="s">
        <v>24</v>
      </c>
      <c r="O579" t="s">
        <v>25</v>
      </c>
    </row>
    <row r="580" spans="1:15" x14ac:dyDescent="0.25">
      <c r="A580" t="s">
        <v>1483</v>
      </c>
      <c r="B580" t="s">
        <v>35</v>
      </c>
      <c r="C580">
        <v>2014</v>
      </c>
      <c r="D580" t="s">
        <v>89</v>
      </c>
      <c r="E580" t="s">
        <v>72</v>
      </c>
      <c r="F580" t="s">
        <v>1484</v>
      </c>
      <c r="G580">
        <v>550</v>
      </c>
      <c r="H580" t="s">
        <v>47</v>
      </c>
      <c r="I580" t="s">
        <v>86</v>
      </c>
      <c r="J580" t="s">
        <v>110</v>
      </c>
      <c r="K580" s="4">
        <v>306.29000000000002</v>
      </c>
      <c r="L580" t="s">
        <v>1485</v>
      </c>
      <c r="M580" s="1">
        <v>46135</v>
      </c>
      <c r="N580" t="s">
        <v>75</v>
      </c>
      <c r="O580" t="s">
        <v>51</v>
      </c>
    </row>
    <row r="581" spans="1:15" x14ac:dyDescent="0.25">
      <c r="A581" t="s">
        <v>1486</v>
      </c>
      <c r="B581" t="s">
        <v>35</v>
      </c>
      <c r="C581">
        <v>2003</v>
      </c>
      <c r="D581" t="s">
        <v>95</v>
      </c>
      <c r="E581" t="s">
        <v>54</v>
      </c>
      <c r="F581" t="s">
        <v>250</v>
      </c>
      <c r="G581">
        <v>270</v>
      </c>
      <c r="H581" t="s">
        <v>29</v>
      </c>
      <c r="I581" t="s">
        <v>30</v>
      </c>
      <c r="J581" t="s">
        <v>92</v>
      </c>
      <c r="K581" s="4">
        <v>286.01</v>
      </c>
      <c r="L581" t="s">
        <v>1487</v>
      </c>
      <c r="M581" s="1">
        <v>46345</v>
      </c>
      <c r="N581" t="s">
        <v>41</v>
      </c>
      <c r="O581" t="s">
        <v>25</v>
      </c>
    </row>
    <row r="582" spans="1:15" x14ac:dyDescent="0.25">
      <c r="A582" t="s">
        <v>569</v>
      </c>
      <c r="B582" t="s">
        <v>16</v>
      </c>
      <c r="C582">
        <v>2001</v>
      </c>
      <c r="D582" t="s">
        <v>36</v>
      </c>
      <c r="E582" t="s">
        <v>72</v>
      </c>
      <c r="F582" t="s">
        <v>1488</v>
      </c>
      <c r="G582">
        <v>150</v>
      </c>
      <c r="H582" t="s">
        <v>85</v>
      </c>
      <c r="I582" t="s">
        <v>186</v>
      </c>
      <c r="J582" t="s">
        <v>110</v>
      </c>
      <c r="K582" s="4">
        <v>4.78</v>
      </c>
      <c r="L582" t="s">
        <v>1489</v>
      </c>
      <c r="M582" s="1">
        <v>46459</v>
      </c>
      <c r="N582" t="s">
        <v>41</v>
      </c>
      <c r="O582" t="s">
        <v>25</v>
      </c>
    </row>
    <row r="583" spans="1:15" x14ac:dyDescent="0.25">
      <c r="A583" t="s">
        <v>1490</v>
      </c>
      <c r="B583" t="s">
        <v>53</v>
      </c>
      <c r="C583">
        <v>1990</v>
      </c>
      <c r="D583" t="s">
        <v>17</v>
      </c>
      <c r="E583" t="s">
        <v>119</v>
      </c>
      <c r="F583" t="s">
        <v>79</v>
      </c>
      <c r="G583">
        <v>680</v>
      </c>
      <c r="H583" t="s">
        <v>20</v>
      </c>
      <c r="I583" t="s">
        <v>48</v>
      </c>
      <c r="J583" t="s">
        <v>121</v>
      </c>
      <c r="K583" s="4">
        <v>477.81</v>
      </c>
      <c r="L583" t="s">
        <v>1491</v>
      </c>
      <c r="M583" s="1">
        <v>46683</v>
      </c>
      <c r="N583" t="s">
        <v>24</v>
      </c>
      <c r="O583" t="s">
        <v>33</v>
      </c>
    </row>
    <row r="584" spans="1:15" x14ac:dyDescent="0.25">
      <c r="A584" t="s">
        <v>1492</v>
      </c>
      <c r="B584" t="s">
        <v>53</v>
      </c>
      <c r="C584">
        <v>2004</v>
      </c>
      <c r="D584" t="s">
        <v>36</v>
      </c>
      <c r="E584" t="s">
        <v>54</v>
      </c>
      <c r="F584" t="s">
        <v>1493</v>
      </c>
      <c r="G584">
        <v>970</v>
      </c>
      <c r="H584" t="s">
        <v>56</v>
      </c>
      <c r="I584" t="s">
        <v>80</v>
      </c>
      <c r="J584" t="s">
        <v>22</v>
      </c>
      <c r="K584" s="4">
        <v>67.709999999999994</v>
      </c>
      <c r="L584" t="s">
        <v>1494</v>
      </c>
      <c r="M584" s="1">
        <v>46628</v>
      </c>
      <c r="N584" t="s">
        <v>75</v>
      </c>
      <c r="O584" t="s">
        <v>51</v>
      </c>
    </row>
    <row r="585" spans="1:15" x14ac:dyDescent="0.25">
      <c r="A585" t="s">
        <v>1495</v>
      </c>
      <c r="B585" t="s">
        <v>43</v>
      </c>
      <c r="C585">
        <v>2013</v>
      </c>
      <c r="D585" t="s">
        <v>36</v>
      </c>
      <c r="E585" t="s">
        <v>116</v>
      </c>
      <c r="F585" t="s">
        <v>1496</v>
      </c>
      <c r="G585">
        <v>500</v>
      </c>
      <c r="H585" t="s">
        <v>38</v>
      </c>
      <c r="I585" t="s">
        <v>80</v>
      </c>
      <c r="J585" t="s">
        <v>125</v>
      </c>
      <c r="K585" s="4">
        <v>34.619999999999997</v>
      </c>
      <c r="L585" t="s">
        <v>1497</v>
      </c>
      <c r="M585" s="1">
        <v>46964</v>
      </c>
      <c r="N585" t="s">
        <v>75</v>
      </c>
      <c r="O585" t="s">
        <v>33</v>
      </c>
    </row>
    <row r="586" spans="1:15" x14ac:dyDescent="0.25">
      <c r="A586" t="s">
        <v>1498</v>
      </c>
      <c r="B586" t="s">
        <v>43</v>
      </c>
      <c r="C586">
        <v>2024</v>
      </c>
      <c r="D586" t="s">
        <v>89</v>
      </c>
      <c r="E586" t="s">
        <v>60</v>
      </c>
      <c r="F586" t="s">
        <v>139</v>
      </c>
      <c r="G586">
        <v>920</v>
      </c>
      <c r="H586" t="s">
        <v>47</v>
      </c>
      <c r="I586" t="s">
        <v>151</v>
      </c>
      <c r="J586" t="s">
        <v>125</v>
      </c>
      <c r="K586" s="4">
        <v>239.43</v>
      </c>
      <c r="L586" t="s">
        <v>1499</v>
      </c>
      <c r="M586" s="1">
        <v>45903</v>
      </c>
      <c r="N586" t="s">
        <v>41</v>
      </c>
      <c r="O586" t="s">
        <v>51</v>
      </c>
    </row>
    <row r="587" spans="1:15" x14ac:dyDescent="0.25">
      <c r="A587" t="s">
        <v>1500</v>
      </c>
      <c r="B587" t="s">
        <v>138</v>
      </c>
      <c r="C587">
        <v>2023</v>
      </c>
      <c r="D587" t="s">
        <v>66</v>
      </c>
      <c r="E587" t="s">
        <v>116</v>
      </c>
      <c r="F587" t="s">
        <v>28</v>
      </c>
      <c r="G587">
        <v>340</v>
      </c>
      <c r="H587" t="s">
        <v>62</v>
      </c>
      <c r="I587" t="s">
        <v>86</v>
      </c>
      <c r="J587" t="s">
        <v>49</v>
      </c>
      <c r="K587" s="4">
        <v>266.41000000000003</v>
      </c>
      <c r="L587" t="s">
        <v>1501</v>
      </c>
      <c r="M587" s="1">
        <v>46106</v>
      </c>
      <c r="N587" t="s">
        <v>24</v>
      </c>
      <c r="O587" t="s">
        <v>51</v>
      </c>
    </row>
    <row r="588" spans="1:15" x14ac:dyDescent="0.25">
      <c r="A588" t="s">
        <v>1502</v>
      </c>
      <c r="B588" t="s">
        <v>134</v>
      </c>
      <c r="C588">
        <v>2002</v>
      </c>
      <c r="D588" t="s">
        <v>44</v>
      </c>
      <c r="E588" t="s">
        <v>119</v>
      </c>
      <c r="F588" t="s">
        <v>252</v>
      </c>
      <c r="G588">
        <v>650</v>
      </c>
      <c r="H588" t="s">
        <v>38</v>
      </c>
      <c r="I588" t="s">
        <v>151</v>
      </c>
      <c r="J588" t="s">
        <v>121</v>
      </c>
      <c r="K588" s="4">
        <v>436.15</v>
      </c>
      <c r="L588" t="s">
        <v>1503</v>
      </c>
      <c r="M588" s="1">
        <v>46166</v>
      </c>
      <c r="N588" t="s">
        <v>75</v>
      </c>
      <c r="O588" t="s">
        <v>25</v>
      </c>
    </row>
    <row r="589" spans="1:15" x14ac:dyDescent="0.25">
      <c r="A589" t="s">
        <v>1057</v>
      </c>
      <c r="B589" t="s">
        <v>16</v>
      </c>
      <c r="C589">
        <v>2006</v>
      </c>
      <c r="D589" t="s">
        <v>71</v>
      </c>
      <c r="E589" t="s">
        <v>72</v>
      </c>
      <c r="F589" t="s">
        <v>185</v>
      </c>
      <c r="G589">
        <v>30</v>
      </c>
      <c r="H589" t="s">
        <v>85</v>
      </c>
      <c r="I589" t="s">
        <v>86</v>
      </c>
      <c r="J589" t="s">
        <v>110</v>
      </c>
      <c r="K589" s="4">
        <v>34.79</v>
      </c>
      <c r="L589" t="s">
        <v>1504</v>
      </c>
      <c r="M589" s="1">
        <v>46650</v>
      </c>
      <c r="N589" t="s">
        <v>24</v>
      </c>
      <c r="O589" t="s">
        <v>51</v>
      </c>
    </row>
    <row r="590" spans="1:15" x14ac:dyDescent="0.25">
      <c r="A590" t="s">
        <v>1505</v>
      </c>
      <c r="B590" t="s">
        <v>77</v>
      </c>
      <c r="C590">
        <v>2001</v>
      </c>
      <c r="D590" t="s">
        <v>66</v>
      </c>
      <c r="E590" t="s">
        <v>60</v>
      </c>
      <c r="F590" t="s">
        <v>1506</v>
      </c>
      <c r="G590">
        <v>570</v>
      </c>
      <c r="H590" t="s">
        <v>47</v>
      </c>
      <c r="I590" t="s">
        <v>186</v>
      </c>
      <c r="J590" t="s">
        <v>49</v>
      </c>
      <c r="K590" s="4">
        <v>271.99</v>
      </c>
      <c r="L590" t="s">
        <v>1507</v>
      </c>
      <c r="M590" s="1">
        <v>46369</v>
      </c>
      <c r="N590" t="s">
        <v>24</v>
      </c>
      <c r="O590" t="s">
        <v>25</v>
      </c>
    </row>
    <row r="591" spans="1:15" x14ac:dyDescent="0.25">
      <c r="A591" t="s">
        <v>1508</v>
      </c>
      <c r="B591" t="s">
        <v>98</v>
      </c>
      <c r="C591">
        <v>2004</v>
      </c>
      <c r="D591" t="s">
        <v>95</v>
      </c>
      <c r="E591" t="s">
        <v>72</v>
      </c>
      <c r="F591" t="s">
        <v>79</v>
      </c>
      <c r="G591">
        <v>660</v>
      </c>
      <c r="H591" t="s">
        <v>56</v>
      </c>
      <c r="I591" t="s">
        <v>86</v>
      </c>
      <c r="J591" t="s">
        <v>110</v>
      </c>
      <c r="K591" s="4">
        <v>448.52</v>
      </c>
      <c r="L591" t="s">
        <v>1509</v>
      </c>
      <c r="M591" s="1">
        <v>46601</v>
      </c>
      <c r="N591" t="s">
        <v>24</v>
      </c>
      <c r="O591" t="s">
        <v>51</v>
      </c>
    </row>
    <row r="592" spans="1:15" x14ac:dyDescent="0.25">
      <c r="A592" t="s">
        <v>771</v>
      </c>
      <c r="B592" t="s">
        <v>77</v>
      </c>
      <c r="C592">
        <v>2008</v>
      </c>
      <c r="D592" t="s">
        <v>71</v>
      </c>
      <c r="E592" t="s">
        <v>99</v>
      </c>
      <c r="F592" t="s">
        <v>1510</v>
      </c>
      <c r="G592">
        <v>400</v>
      </c>
      <c r="H592" t="s">
        <v>56</v>
      </c>
      <c r="I592" t="s">
        <v>21</v>
      </c>
      <c r="J592" t="s">
        <v>63</v>
      </c>
      <c r="K592" s="4">
        <v>431.95</v>
      </c>
      <c r="L592" t="s">
        <v>1511</v>
      </c>
      <c r="M592" s="1">
        <v>46180</v>
      </c>
      <c r="N592" t="s">
        <v>75</v>
      </c>
      <c r="O592" t="s">
        <v>33</v>
      </c>
    </row>
    <row r="593" spans="1:15" x14ac:dyDescent="0.25">
      <c r="A593" t="s">
        <v>1512</v>
      </c>
      <c r="B593" t="s">
        <v>43</v>
      </c>
      <c r="C593">
        <v>1994</v>
      </c>
      <c r="D593" t="s">
        <v>66</v>
      </c>
      <c r="E593" t="s">
        <v>72</v>
      </c>
      <c r="F593" t="s">
        <v>250</v>
      </c>
      <c r="G593">
        <v>380</v>
      </c>
      <c r="H593" t="s">
        <v>38</v>
      </c>
      <c r="I593" t="s">
        <v>30</v>
      </c>
      <c r="J593" t="s">
        <v>63</v>
      </c>
      <c r="K593" s="4">
        <v>251.31</v>
      </c>
      <c r="L593" t="s">
        <v>1513</v>
      </c>
      <c r="M593" s="1">
        <v>46641</v>
      </c>
      <c r="N593" t="s">
        <v>41</v>
      </c>
      <c r="O593" t="s">
        <v>33</v>
      </c>
    </row>
    <row r="594" spans="1:15" x14ac:dyDescent="0.25">
      <c r="A594" t="s">
        <v>1514</v>
      </c>
      <c r="B594" t="s">
        <v>70</v>
      </c>
      <c r="C594">
        <v>2010</v>
      </c>
      <c r="D594" t="s">
        <v>108</v>
      </c>
      <c r="E594" t="s">
        <v>60</v>
      </c>
      <c r="F594" t="s">
        <v>825</v>
      </c>
      <c r="G594">
        <v>570</v>
      </c>
      <c r="H594" t="s">
        <v>85</v>
      </c>
      <c r="I594" t="s">
        <v>48</v>
      </c>
      <c r="J594" t="s">
        <v>110</v>
      </c>
      <c r="K594" s="4">
        <v>456.26</v>
      </c>
      <c r="L594" t="s">
        <v>1515</v>
      </c>
      <c r="M594" s="1">
        <v>46530</v>
      </c>
      <c r="N594" t="s">
        <v>24</v>
      </c>
      <c r="O594" t="s">
        <v>51</v>
      </c>
    </row>
    <row r="595" spans="1:15" x14ac:dyDescent="0.25">
      <c r="A595" t="s">
        <v>1516</v>
      </c>
      <c r="B595" t="s">
        <v>134</v>
      </c>
      <c r="C595">
        <v>2013</v>
      </c>
      <c r="D595" t="s">
        <v>66</v>
      </c>
      <c r="E595" t="s">
        <v>18</v>
      </c>
      <c r="F595" t="s">
        <v>1517</v>
      </c>
      <c r="G595">
        <v>560</v>
      </c>
      <c r="H595" t="s">
        <v>62</v>
      </c>
      <c r="I595" t="s">
        <v>86</v>
      </c>
      <c r="J595" t="s">
        <v>22</v>
      </c>
      <c r="K595" s="4">
        <v>198.22</v>
      </c>
      <c r="L595" t="s">
        <v>1518</v>
      </c>
      <c r="M595" s="1">
        <v>46669</v>
      </c>
      <c r="N595" t="s">
        <v>24</v>
      </c>
      <c r="O595" t="s">
        <v>33</v>
      </c>
    </row>
    <row r="596" spans="1:15" x14ac:dyDescent="0.25">
      <c r="A596" t="s">
        <v>1519</v>
      </c>
      <c r="B596" t="s">
        <v>59</v>
      </c>
      <c r="C596">
        <v>2017</v>
      </c>
      <c r="D596" t="s">
        <v>89</v>
      </c>
      <c r="E596" t="s">
        <v>116</v>
      </c>
      <c r="F596" t="s">
        <v>1216</v>
      </c>
      <c r="G596">
        <v>580</v>
      </c>
      <c r="H596" t="s">
        <v>29</v>
      </c>
      <c r="I596" t="s">
        <v>151</v>
      </c>
      <c r="J596" t="s">
        <v>125</v>
      </c>
      <c r="K596" s="4">
        <v>84.03</v>
      </c>
      <c r="L596" t="s">
        <v>1520</v>
      </c>
      <c r="M596" s="1">
        <v>46187</v>
      </c>
      <c r="N596" t="s">
        <v>41</v>
      </c>
      <c r="O596" t="s">
        <v>25</v>
      </c>
    </row>
    <row r="597" spans="1:15" x14ac:dyDescent="0.25">
      <c r="A597" t="s">
        <v>1521</v>
      </c>
      <c r="B597" t="s">
        <v>98</v>
      </c>
      <c r="C597">
        <v>2019</v>
      </c>
      <c r="D597" t="s">
        <v>83</v>
      </c>
      <c r="E597" t="s">
        <v>78</v>
      </c>
      <c r="F597" t="s">
        <v>1522</v>
      </c>
      <c r="G597">
        <v>960</v>
      </c>
      <c r="H597" t="s">
        <v>62</v>
      </c>
      <c r="I597" t="s">
        <v>80</v>
      </c>
      <c r="J597" t="s">
        <v>101</v>
      </c>
      <c r="K597" s="4">
        <v>475.33</v>
      </c>
      <c r="L597" t="s">
        <v>1523</v>
      </c>
      <c r="M597" s="1">
        <v>45881</v>
      </c>
      <c r="N597" t="s">
        <v>24</v>
      </c>
      <c r="O597" t="s">
        <v>25</v>
      </c>
    </row>
    <row r="598" spans="1:15" x14ac:dyDescent="0.25">
      <c r="A598" t="s">
        <v>1524</v>
      </c>
      <c r="B598" t="s">
        <v>43</v>
      </c>
      <c r="C598">
        <v>1998</v>
      </c>
      <c r="D598" t="s">
        <v>36</v>
      </c>
      <c r="E598" t="s">
        <v>72</v>
      </c>
      <c r="F598" t="s">
        <v>244</v>
      </c>
      <c r="G598">
        <v>390</v>
      </c>
      <c r="H598" t="s">
        <v>85</v>
      </c>
      <c r="I598" t="s">
        <v>30</v>
      </c>
      <c r="J598" t="s">
        <v>110</v>
      </c>
      <c r="K598" s="4">
        <v>55.15</v>
      </c>
      <c r="L598" t="s">
        <v>1525</v>
      </c>
      <c r="M598" s="1">
        <v>45886</v>
      </c>
      <c r="N598" t="s">
        <v>24</v>
      </c>
      <c r="O598" t="s">
        <v>33</v>
      </c>
    </row>
    <row r="599" spans="1:15" x14ac:dyDescent="0.25">
      <c r="A599" t="s">
        <v>1526</v>
      </c>
      <c r="B599" t="s">
        <v>43</v>
      </c>
      <c r="C599">
        <v>1994</v>
      </c>
      <c r="D599" t="s">
        <v>66</v>
      </c>
      <c r="E599" t="s">
        <v>72</v>
      </c>
      <c r="F599" t="s">
        <v>250</v>
      </c>
      <c r="G599">
        <v>720</v>
      </c>
      <c r="H599" t="s">
        <v>29</v>
      </c>
      <c r="I599" t="s">
        <v>151</v>
      </c>
      <c r="J599" t="s">
        <v>110</v>
      </c>
      <c r="K599" s="4">
        <v>210.7</v>
      </c>
      <c r="L599" t="s">
        <v>1527</v>
      </c>
      <c r="M599" s="1">
        <v>46772</v>
      </c>
      <c r="N599" t="s">
        <v>75</v>
      </c>
      <c r="O599" t="s">
        <v>51</v>
      </c>
    </row>
    <row r="600" spans="1:15" x14ac:dyDescent="0.25">
      <c r="A600" t="s">
        <v>1528</v>
      </c>
      <c r="B600" t="s">
        <v>98</v>
      </c>
      <c r="C600">
        <v>1998</v>
      </c>
      <c r="D600" t="s">
        <v>17</v>
      </c>
      <c r="E600" t="s">
        <v>60</v>
      </c>
      <c r="F600" t="s">
        <v>1529</v>
      </c>
      <c r="G600">
        <v>40</v>
      </c>
      <c r="H600" t="s">
        <v>56</v>
      </c>
      <c r="I600" t="s">
        <v>186</v>
      </c>
      <c r="J600" t="s">
        <v>92</v>
      </c>
      <c r="K600" s="4">
        <v>290.08</v>
      </c>
      <c r="L600" t="s">
        <v>1530</v>
      </c>
      <c r="M600" s="1">
        <v>46022</v>
      </c>
      <c r="N600" t="s">
        <v>75</v>
      </c>
      <c r="O600" t="s">
        <v>51</v>
      </c>
    </row>
    <row r="601" spans="1:15" x14ac:dyDescent="0.25">
      <c r="A601" t="s">
        <v>1531</v>
      </c>
      <c r="B601" t="s">
        <v>77</v>
      </c>
      <c r="C601">
        <v>2011</v>
      </c>
      <c r="D601" t="s">
        <v>27</v>
      </c>
      <c r="E601" t="s">
        <v>78</v>
      </c>
      <c r="F601" t="s">
        <v>875</v>
      </c>
      <c r="G601">
        <v>310</v>
      </c>
      <c r="H601" t="s">
        <v>20</v>
      </c>
      <c r="I601" t="s">
        <v>39</v>
      </c>
      <c r="J601" t="s">
        <v>49</v>
      </c>
      <c r="K601" s="4">
        <v>468.84</v>
      </c>
      <c r="L601" t="s">
        <v>1532</v>
      </c>
      <c r="M601" s="1">
        <v>45966</v>
      </c>
      <c r="N601" t="s">
        <v>24</v>
      </c>
      <c r="O601" t="s">
        <v>51</v>
      </c>
    </row>
    <row r="602" spans="1:15" x14ac:dyDescent="0.25">
      <c r="A602" t="s">
        <v>1533</v>
      </c>
      <c r="B602" t="s">
        <v>70</v>
      </c>
      <c r="C602">
        <v>2016</v>
      </c>
      <c r="D602" t="s">
        <v>71</v>
      </c>
      <c r="E602" t="s">
        <v>116</v>
      </c>
      <c r="F602" t="s">
        <v>490</v>
      </c>
      <c r="G602">
        <v>890</v>
      </c>
      <c r="H602" t="s">
        <v>29</v>
      </c>
      <c r="I602" t="s">
        <v>21</v>
      </c>
      <c r="J602" t="s">
        <v>63</v>
      </c>
      <c r="K602" s="4">
        <v>372.2</v>
      </c>
      <c r="L602" t="s">
        <v>1534</v>
      </c>
      <c r="M602" s="1">
        <v>46535</v>
      </c>
      <c r="N602" t="s">
        <v>75</v>
      </c>
      <c r="O602" t="s">
        <v>25</v>
      </c>
    </row>
    <row r="603" spans="1:15" x14ac:dyDescent="0.25">
      <c r="A603" t="s">
        <v>1535</v>
      </c>
      <c r="B603" t="s">
        <v>138</v>
      </c>
      <c r="C603">
        <v>2014</v>
      </c>
      <c r="D603" t="s">
        <v>27</v>
      </c>
      <c r="E603" t="s">
        <v>78</v>
      </c>
      <c r="F603" t="s">
        <v>162</v>
      </c>
      <c r="G603">
        <v>760</v>
      </c>
      <c r="H603" t="s">
        <v>29</v>
      </c>
      <c r="I603" t="s">
        <v>39</v>
      </c>
      <c r="J603" t="s">
        <v>22</v>
      </c>
      <c r="K603" s="4">
        <v>499.06</v>
      </c>
      <c r="L603" t="s">
        <v>1536</v>
      </c>
      <c r="M603" s="1">
        <v>46619</v>
      </c>
      <c r="N603" t="s">
        <v>24</v>
      </c>
      <c r="O603" t="s">
        <v>33</v>
      </c>
    </row>
    <row r="604" spans="1:15" x14ac:dyDescent="0.25">
      <c r="A604" t="s">
        <v>1537</v>
      </c>
      <c r="B604" t="s">
        <v>70</v>
      </c>
      <c r="C604">
        <v>1991</v>
      </c>
      <c r="D604" t="s">
        <v>17</v>
      </c>
      <c r="E604" t="s">
        <v>54</v>
      </c>
      <c r="F604" t="s">
        <v>205</v>
      </c>
      <c r="G604">
        <v>570</v>
      </c>
      <c r="H604" t="s">
        <v>85</v>
      </c>
      <c r="I604" t="s">
        <v>91</v>
      </c>
      <c r="J604" t="s">
        <v>22</v>
      </c>
      <c r="K604" s="4">
        <v>450.07</v>
      </c>
      <c r="L604" t="s">
        <v>1538</v>
      </c>
      <c r="M604" s="1">
        <v>46538</v>
      </c>
      <c r="N604" t="s">
        <v>24</v>
      </c>
      <c r="O604" t="s">
        <v>33</v>
      </c>
    </row>
    <row r="605" spans="1:15" x14ac:dyDescent="0.25">
      <c r="A605" t="s">
        <v>1539</v>
      </c>
      <c r="B605" t="s">
        <v>134</v>
      </c>
      <c r="C605">
        <v>1997</v>
      </c>
      <c r="D605" t="s">
        <v>89</v>
      </c>
      <c r="E605" t="s">
        <v>78</v>
      </c>
      <c r="F605" t="s">
        <v>67</v>
      </c>
      <c r="G605">
        <v>270</v>
      </c>
      <c r="H605" t="s">
        <v>85</v>
      </c>
      <c r="I605" t="s">
        <v>86</v>
      </c>
      <c r="J605" t="s">
        <v>125</v>
      </c>
      <c r="K605" s="4">
        <v>247.78</v>
      </c>
      <c r="L605" t="s">
        <v>1540</v>
      </c>
      <c r="M605" s="1">
        <v>46731</v>
      </c>
      <c r="N605" t="s">
        <v>41</v>
      </c>
      <c r="O605" t="s">
        <v>33</v>
      </c>
    </row>
    <row r="606" spans="1:15" x14ac:dyDescent="0.25">
      <c r="A606" t="s">
        <v>1541</v>
      </c>
      <c r="B606" t="s">
        <v>35</v>
      </c>
      <c r="C606">
        <v>1997</v>
      </c>
      <c r="D606" t="s">
        <v>71</v>
      </c>
      <c r="E606" t="s">
        <v>119</v>
      </c>
      <c r="F606" t="s">
        <v>755</v>
      </c>
      <c r="G606">
        <v>950</v>
      </c>
      <c r="H606" t="s">
        <v>85</v>
      </c>
      <c r="I606" t="s">
        <v>39</v>
      </c>
      <c r="J606" t="s">
        <v>125</v>
      </c>
      <c r="K606" s="4">
        <v>16.02</v>
      </c>
      <c r="L606" t="s">
        <v>1542</v>
      </c>
      <c r="M606" s="1">
        <v>46255</v>
      </c>
      <c r="N606" t="s">
        <v>75</v>
      </c>
      <c r="O606" t="s">
        <v>51</v>
      </c>
    </row>
    <row r="607" spans="1:15" x14ac:dyDescent="0.25">
      <c r="A607" t="s">
        <v>1543</v>
      </c>
      <c r="B607" t="s">
        <v>16</v>
      </c>
      <c r="C607">
        <v>2017</v>
      </c>
      <c r="D607" t="s">
        <v>44</v>
      </c>
      <c r="E607" t="s">
        <v>119</v>
      </c>
      <c r="F607" t="s">
        <v>444</v>
      </c>
      <c r="G607">
        <v>150</v>
      </c>
      <c r="H607" t="s">
        <v>62</v>
      </c>
      <c r="I607" t="s">
        <v>21</v>
      </c>
      <c r="J607" t="s">
        <v>101</v>
      </c>
      <c r="K607" s="4">
        <v>127.45</v>
      </c>
      <c r="L607" t="s">
        <v>1544</v>
      </c>
      <c r="M607" s="1">
        <v>46387</v>
      </c>
      <c r="N607" t="s">
        <v>41</v>
      </c>
      <c r="O607" t="s">
        <v>25</v>
      </c>
    </row>
    <row r="608" spans="1:15" x14ac:dyDescent="0.25">
      <c r="A608" t="s">
        <v>1545</v>
      </c>
      <c r="B608" t="s">
        <v>134</v>
      </c>
      <c r="C608">
        <v>2020</v>
      </c>
      <c r="D608" t="s">
        <v>108</v>
      </c>
      <c r="E608" t="s">
        <v>78</v>
      </c>
      <c r="F608" t="s">
        <v>851</v>
      </c>
      <c r="G608">
        <v>650</v>
      </c>
      <c r="H608" t="s">
        <v>62</v>
      </c>
      <c r="I608" t="s">
        <v>30</v>
      </c>
      <c r="J608" t="s">
        <v>63</v>
      </c>
      <c r="K608" s="4">
        <v>82.42</v>
      </c>
      <c r="L608" t="s">
        <v>1546</v>
      </c>
      <c r="M608" s="1">
        <v>46108</v>
      </c>
      <c r="N608" t="s">
        <v>24</v>
      </c>
      <c r="O608" t="s">
        <v>25</v>
      </c>
    </row>
    <row r="609" spans="1:15" x14ac:dyDescent="0.25">
      <c r="A609" t="s">
        <v>660</v>
      </c>
      <c r="B609" t="s">
        <v>59</v>
      </c>
      <c r="C609">
        <v>2007</v>
      </c>
      <c r="D609" t="s">
        <v>71</v>
      </c>
      <c r="E609" t="s">
        <v>104</v>
      </c>
      <c r="F609" t="s">
        <v>135</v>
      </c>
      <c r="G609">
        <v>260</v>
      </c>
      <c r="H609" t="s">
        <v>20</v>
      </c>
      <c r="I609" t="s">
        <v>151</v>
      </c>
      <c r="J609" t="s">
        <v>49</v>
      </c>
      <c r="K609" s="4">
        <v>366.96</v>
      </c>
      <c r="L609" t="s">
        <v>1547</v>
      </c>
      <c r="M609" s="1">
        <v>46118</v>
      </c>
      <c r="N609" t="s">
        <v>75</v>
      </c>
      <c r="O609" t="s">
        <v>51</v>
      </c>
    </row>
    <row r="610" spans="1:15" x14ac:dyDescent="0.25">
      <c r="A610" t="s">
        <v>1548</v>
      </c>
      <c r="B610" t="s">
        <v>138</v>
      </c>
      <c r="C610">
        <v>2023</v>
      </c>
      <c r="D610" t="s">
        <v>44</v>
      </c>
      <c r="E610" t="s">
        <v>78</v>
      </c>
      <c r="F610" t="s">
        <v>642</v>
      </c>
      <c r="G610">
        <v>560</v>
      </c>
      <c r="H610" t="s">
        <v>29</v>
      </c>
      <c r="I610" t="s">
        <v>80</v>
      </c>
      <c r="J610" t="s">
        <v>146</v>
      </c>
      <c r="K610" s="4">
        <v>94.1</v>
      </c>
      <c r="L610" t="s">
        <v>1549</v>
      </c>
      <c r="M610" s="1">
        <v>46963</v>
      </c>
      <c r="N610" t="s">
        <v>75</v>
      </c>
      <c r="O610" t="s">
        <v>51</v>
      </c>
    </row>
    <row r="611" spans="1:15" x14ac:dyDescent="0.25">
      <c r="A611" t="s">
        <v>1550</v>
      </c>
      <c r="B611" t="s">
        <v>138</v>
      </c>
      <c r="C611">
        <v>1990</v>
      </c>
      <c r="D611" t="s">
        <v>17</v>
      </c>
      <c r="E611" t="s">
        <v>45</v>
      </c>
      <c r="F611" t="s">
        <v>1397</v>
      </c>
      <c r="G611">
        <v>720</v>
      </c>
      <c r="H611" t="s">
        <v>29</v>
      </c>
      <c r="I611" t="s">
        <v>86</v>
      </c>
      <c r="J611" t="s">
        <v>92</v>
      </c>
      <c r="K611" s="4">
        <v>216.93</v>
      </c>
      <c r="L611" t="s">
        <v>1551</v>
      </c>
      <c r="M611" s="1">
        <v>46188</v>
      </c>
      <c r="N611" t="s">
        <v>41</v>
      </c>
      <c r="O611" t="s">
        <v>25</v>
      </c>
    </row>
    <row r="612" spans="1:15" x14ac:dyDescent="0.25">
      <c r="A612" t="s">
        <v>1552</v>
      </c>
      <c r="B612" t="s">
        <v>98</v>
      </c>
      <c r="C612">
        <v>2024</v>
      </c>
      <c r="D612" t="s">
        <v>89</v>
      </c>
      <c r="E612" t="s">
        <v>72</v>
      </c>
      <c r="F612" t="s">
        <v>220</v>
      </c>
      <c r="G612">
        <v>560</v>
      </c>
      <c r="H612" t="s">
        <v>47</v>
      </c>
      <c r="I612" t="s">
        <v>39</v>
      </c>
      <c r="J612" t="s">
        <v>22</v>
      </c>
      <c r="K612" s="4">
        <v>26.89</v>
      </c>
      <c r="L612" t="s">
        <v>1553</v>
      </c>
      <c r="M612" s="1">
        <v>46204</v>
      </c>
      <c r="N612" t="s">
        <v>41</v>
      </c>
      <c r="O612" t="s">
        <v>33</v>
      </c>
    </row>
    <row r="613" spans="1:15" x14ac:dyDescent="0.25">
      <c r="A613" t="s">
        <v>1554</v>
      </c>
      <c r="B613" t="s">
        <v>134</v>
      </c>
      <c r="C613">
        <v>2009</v>
      </c>
      <c r="D613" t="s">
        <v>27</v>
      </c>
      <c r="E613" t="s">
        <v>78</v>
      </c>
      <c r="F613" t="s">
        <v>750</v>
      </c>
      <c r="G613">
        <v>620</v>
      </c>
      <c r="H613" t="s">
        <v>56</v>
      </c>
      <c r="I613" t="s">
        <v>80</v>
      </c>
      <c r="J613" t="s">
        <v>101</v>
      </c>
      <c r="K613" s="4">
        <v>28.93</v>
      </c>
      <c r="L613" t="s">
        <v>1555</v>
      </c>
      <c r="M613" s="1">
        <v>46093</v>
      </c>
      <c r="N613" t="s">
        <v>41</v>
      </c>
      <c r="O613" t="s">
        <v>33</v>
      </c>
    </row>
    <row r="614" spans="1:15" x14ac:dyDescent="0.25">
      <c r="A614" t="s">
        <v>1556</v>
      </c>
      <c r="B614" t="s">
        <v>98</v>
      </c>
      <c r="C614">
        <v>2010</v>
      </c>
      <c r="D614" t="s">
        <v>44</v>
      </c>
      <c r="E614" t="s">
        <v>72</v>
      </c>
      <c r="F614" t="s">
        <v>1557</v>
      </c>
      <c r="G614">
        <v>210</v>
      </c>
      <c r="H614" t="s">
        <v>38</v>
      </c>
      <c r="I614" t="s">
        <v>80</v>
      </c>
      <c r="J614" t="s">
        <v>22</v>
      </c>
      <c r="K614" s="4">
        <v>358.18</v>
      </c>
      <c r="L614" t="s">
        <v>1558</v>
      </c>
      <c r="M614" s="1">
        <v>46184</v>
      </c>
      <c r="N614" t="s">
        <v>75</v>
      </c>
      <c r="O614" t="s">
        <v>25</v>
      </c>
    </row>
    <row r="615" spans="1:15" x14ac:dyDescent="0.25">
      <c r="A615" t="s">
        <v>1559</v>
      </c>
      <c r="B615" t="s">
        <v>35</v>
      </c>
      <c r="C615">
        <v>1996</v>
      </c>
      <c r="D615" t="s">
        <v>36</v>
      </c>
      <c r="E615" t="s">
        <v>99</v>
      </c>
      <c r="F615" t="s">
        <v>630</v>
      </c>
      <c r="G615">
        <v>170</v>
      </c>
      <c r="H615" t="s">
        <v>56</v>
      </c>
      <c r="I615" t="s">
        <v>86</v>
      </c>
      <c r="J615" t="s">
        <v>110</v>
      </c>
      <c r="K615" s="4">
        <v>254.26</v>
      </c>
      <c r="L615" t="s">
        <v>1560</v>
      </c>
      <c r="M615" s="1">
        <v>46468</v>
      </c>
      <c r="N615" t="s">
        <v>75</v>
      </c>
      <c r="O615" t="s">
        <v>25</v>
      </c>
    </row>
    <row r="616" spans="1:15" x14ac:dyDescent="0.25">
      <c r="A616" t="s">
        <v>1561</v>
      </c>
      <c r="B616" t="s">
        <v>59</v>
      </c>
      <c r="C616">
        <v>1995</v>
      </c>
      <c r="D616" t="s">
        <v>44</v>
      </c>
      <c r="E616" t="s">
        <v>104</v>
      </c>
      <c r="F616" t="s">
        <v>28</v>
      </c>
      <c r="G616">
        <v>290</v>
      </c>
      <c r="H616" t="s">
        <v>62</v>
      </c>
      <c r="I616" t="s">
        <v>80</v>
      </c>
      <c r="J616" t="s">
        <v>63</v>
      </c>
      <c r="K616" s="4">
        <v>53.51</v>
      </c>
      <c r="L616" t="s">
        <v>1562</v>
      </c>
      <c r="M616" s="1">
        <v>46400</v>
      </c>
      <c r="N616" t="s">
        <v>75</v>
      </c>
      <c r="O616" t="s">
        <v>25</v>
      </c>
    </row>
    <row r="617" spans="1:15" x14ac:dyDescent="0.25">
      <c r="A617" t="s">
        <v>1563</v>
      </c>
      <c r="B617" t="s">
        <v>77</v>
      </c>
      <c r="C617">
        <v>2007</v>
      </c>
      <c r="D617" t="s">
        <v>66</v>
      </c>
      <c r="E617" t="s">
        <v>60</v>
      </c>
      <c r="F617" t="s">
        <v>67</v>
      </c>
      <c r="G617">
        <v>600</v>
      </c>
      <c r="H617" t="s">
        <v>62</v>
      </c>
      <c r="I617" t="s">
        <v>30</v>
      </c>
      <c r="J617" t="s">
        <v>110</v>
      </c>
      <c r="K617" s="4">
        <v>467.82</v>
      </c>
      <c r="L617" t="s">
        <v>1564</v>
      </c>
      <c r="M617" s="1">
        <v>46827</v>
      </c>
      <c r="N617" t="s">
        <v>41</v>
      </c>
      <c r="O617" t="s">
        <v>25</v>
      </c>
    </row>
    <row r="618" spans="1:15" x14ac:dyDescent="0.25">
      <c r="A618" t="s">
        <v>1565</v>
      </c>
      <c r="B618" t="s">
        <v>138</v>
      </c>
      <c r="C618">
        <v>2007</v>
      </c>
      <c r="D618" t="s">
        <v>36</v>
      </c>
      <c r="E618" t="s">
        <v>116</v>
      </c>
      <c r="F618" t="s">
        <v>1566</v>
      </c>
      <c r="G618">
        <v>550</v>
      </c>
      <c r="H618" t="s">
        <v>56</v>
      </c>
      <c r="I618" t="s">
        <v>151</v>
      </c>
      <c r="J618" t="s">
        <v>121</v>
      </c>
      <c r="K618" s="4">
        <v>87.31</v>
      </c>
      <c r="L618" t="s">
        <v>1567</v>
      </c>
      <c r="M618" s="1">
        <v>46677</v>
      </c>
      <c r="N618" t="s">
        <v>24</v>
      </c>
      <c r="O618" t="s">
        <v>25</v>
      </c>
    </row>
    <row r="619" spans="1:15" x14ac:dyDescent="0.25">
      <c r="A619" t="s">
        <v>1568</v>
      </c>
      <c r="B619" t="s">
        <v>16</v>
      </c>
      <c r="C619">
        <v>2008</v>
      </c>
      <c r="D619" t="s">
        <v>71</v>
      </c>
      <c r="E619" t="s">
        <v>18</v>
      </c>
      <c r="F619" t="s">
        <v>1097</v>
      </c>
      <c r="G619">
        <v>280</v>
      </c>
      <c r="H619" t="s">
        <v>56</v>
      </c>
      <c r="I619" t="s">
        <v>39</v>
      </c>
      <c r="J619" t="s">
        <v>63</v>
      </c>
      <c r="K619" s="4">
        <v>303.86</v>
      </c>
      <c r="L619" t="s">
        <v>1569</v>
      </c>
      <c r="M619" s="1">
        <v>46943</v>
      </c>
      <c r="N619" t="s">
        <v>24</v>
      </c>
      <c r="O619" t="s">
        <v>51</v>
      </c>
    </row>
    <row r="620" spans="1:15" x14ac:dyDescent="0.25">
      <c r="A620" t="s">
        <v>1570</v>
      </c>
      <c r="B620" t="s">
        <v>53</v>
      </c>
      <c r="C620">
        <v>1992</v>
      </c>
      <c r="D620" t="s">
        <v>27</v>
      </c>
      <c r="E620" t="s">
        <v>78</v>
      </c>
      <c r="F620" t="s">
        <v>162</v>
      </c>
      <c r="G620">
        <v>840</v>
      </c>
      <c r="H620" t="s">
        <v>56</v>
      </c>
      <c r="I620" t="s">
        <v>73</v>
      </c>
      <c r="J620" t="s">
        <v>101</v>
      </c>
      <c r="K620" s="4">
        <v>248.71</v>
      </c>
      <c r="L620" t="s">
        <v>1571</v>
      </c>
      <c r="M620" s="1">
        <v>46629</v>
      </c>
      <c r="N620" t="s">
        <v>75</v>
      </c>
      <c r="O620" t="s">
        <v>33</v>
      </c>
    </row>
    <row r="621" spans="1:15" x14ac:dyDescent="0.25">
      <c r="A621" t="s">
        <v>1572</v>
      </c>
      <c r="B621" t="s">
        <v>59</v>
      </c>
      <c r="C621">
        <v>2005</v>
      </c>
      <c r="D621" t="s">
        <v>66</v>
      </c>
      <c r="E621" t="s">
        <v>104</v>
      </c>
      <c r="F621" t="s">
        <v>1055</v>
      </c>
      <c r="G621">
        <v>80</v>
      </c>
      <c r="H621" t="s">
        <v>29</v>
      </c>
      <c r="I621" t="s">
        <v>86</v>
      </c>
      <c r="J621" t="s">
        <v>92</v>
      </c>
      <c r="K621" s="4">
        <v>434.45</v>
      </c>
      <c r="L621" t="s">
        <v>1573</v>
      </c>
      <c r="M621" s="1">
        <v>46378</v>
      </c>
      <c r="N621" t="s">
        <v>75</v>
      </c>
      <c r="O621" t="s">
        <v>33</v>
      </c>
    </row>
    <row r="622" spans="1:15" x14ac:dyDescent="0.25">
      <c r="A622" t="s">
        <v>1475</v>
      </c>
      <c r="B622" t="s">
        <v>70</v>
      </c>
      <c r="C622">
        <v>1993</v>
      </c>
      <c r="D622" t="s">
        <v>44</v>
      </c>
      <c r="E622" t="s">
        <v>18</v>
      </c>
      <c r="F622" t="s">
        <v>1574</v>
      </c>
      <c r="G622">
        <v>650</v>
      </c>
      <c r="H622" t="s">
        <v>38</v>
      </c>
      <c r="I622" t="s">
        <v>30</v>
      </c>
      <c r="J622" t="s">
        <v>121</v>
      </c>
      <c r="K622" s="4">
        <v>199.5</v>
      </c>
      <c r="L622" t="s">
        <v>1575</v>
      </c>
      <c r="M622" s="1">
        <v>45989</v>
      </c>
      <c r="N622" t="s">
        <v>75</v>
      </c>
      <c r="O622" t="s">
        <v>33</v>
      </c>
    </row>
    <row r="623" spans="1:15" x14ac:dyDescent="0.25">
      <c r="A623" t="s">
        <v>1576</v>
      </c>
      <c r="B623" t="s">
        <v>77</v>
      </c>
      <c r="C623">
        <v>2012</v>
      </c>
      <c r="D623" t="s">
        <v>71</v>
      </c>
      <c r="E623" t="s">
        <v>18</v>
      </c>
      <c r="F623" t="s">
        <v>1577</v>
      </c>
      <c r="G623">
        <v>670</v>
      </c>
      <c r="H623" t="s">
        <v>38</v>
      </c>
      <c r="I623" t="s">
        <v>30</v>
      </c>
      <c r="J623" t="s">
        <v>146</v>
      </c>
      <c r="K623" s="4">
        <v>485.89</v>
      </c>
      <c r="L623" t="s">
        <v>1578</v>
      </c>
      <c r="M623" s="1">
        <v>46680</v>
      </c>
      <c r="N623" t="s">
        <v>24</v>
      </c>
      <c r="O623" t="s">
        <v>51</v>
      </c>
    </row>
    <row r="624" spans="1:15" x14ac:dyDescent="0.25">
      <c r="A624" t="s">
        <v>1579</v>
      </c>
      <c r="B624" t="s">
        <v>53</v>
      </c>
      <c r="C624">
        <v>1993</v>
      </c>
      <c r="D624" t="s">
        <v>108</v>
      </c>
      <c r="E624" t="s">
        <v>18</v>
      </c>
      <c r="F624" t="s">
        <v>642</v>
      </c>
      <c r="G624">
        <v>900</v>
      </c>
      <c r="H624" t="s">
        <v>85</v>
      </c>
      <c r="I624" t="s">
        <v>80</v>
      </c>
      <c r="J624" t="s">
        <v>121</v>
      </c>
      <c r="K624" s="4">
        <v>84.84</v>
      </c>
      <c r="L624" t="s">
        <v>1580</v>
      </c>
      <c r="M624" s="1">
        <v>46918</v>
      </c>
      <c r="N624" t="s">
        <v>24</v>
      </c>
      <c r="O624" t="s">
        <v>51</v>
      </c>
    </row>
    <row r="625" spans="1:15" x14ac:dyDescent="0.25">
      <c r="A625" t="s">
        <v>1581</v>
      </c>
      <c r="B625" t="s">
        <v>77</v>
      </c>
      <c r="C625">
        <v>2010</v>
      </c>
      <c r="D625" t="s">
        <v>27</v>
      </c>
      <c r="E625" t="s">
        <v>72</v>
      </c>
      <c r="F625" t="s">
        <v>1582</v>
      </c>
      <c r="G625">
        <v>950</v>
      </c>
      <c r="H625" t="s">
        <v>29</v>
      </c>
      <c r="I625" t="s">
        <v>151</v>
      </c>
      <c r="J625" t="s">
        <v>121</v>
      </c>
      <c r="K625" s="4">
        <v>87.74</v>
      </c>
      <c r="L625" t="s">
        <v>1583</v>
      </c>
      <c r="M625" s="1">
        <v>46819</v>
      </c>
      <c r="N625" t="s">
        <v>75</v>
      </c>
      <c r="O625" t="s">
        <v>25</v>
      </c>
    </row>
    <row r="626" spans="1:15" x14ac:dyDescent="0.25">
      <c r="A626" t="s">
        <v>1584</v>
      </c>
      <c r="B626" t="s">
        <v>43</v>
      </c>
      <c r="C626">
        <v>2001</v>
      </c>
      <c r="D626" t="s">
        <v>83</v>
      </c>
      <c r="E626" t="s">
        <v>54</v>
      </c>
      <c r="F626" t="s">
        <v>135</v>
      </c>
      <c r="G626">
        <v>860</v>
      </c>
      <c r="H626" t="s">
        <v>38</v>
      </c>
      <c r="I626" t="s">
        <v>151</v>
      </c>
      <c r="J626" t="s">
        <v>146</v>
      </c>
      <c r="K626" s="4">
        <v>356.55</v>
      </c>
      <c r="L626" t="s">
        <v>1585</v>
      </c>
      <c r="M626" s="1">
        <v>46069</v>
      </c>
      <c r="N626" t="s">
        <v>41</v>
      </c>
      <c r="O626" t="s">
        <v>51</v>
      </c>
    </row>
    <row r="627" spans="1:15" x14ac:dyDescent="0.25">
      <c r="A627" t="s">
        <v>1586</v>
      </c>
      <c r="B627" t="s">
        <v>98</v>
      </c>
      <c r="C627">
        <v>2021</v>
      </c>
      <c r="D627" t="s">
        <v>83</v>
      </c>
      <c r="E627" t="s">
        <v>72</v>
      </c>
      <c r="F627" t="s">
        <v>1488</v>
      </c>
      <c r="G627">
        <v>210</v>
      </c>
      <c r="H627" t="s">
        <v>29</v>
      </c>
      <c r="I627" t="s">
        <v>30</v>
      </c>
      <c r="J627" t="s">
        <v>121</v>
      </c>
      <c r="K627" s="4">
        <v>311.64</v>
      </c>
      <c r="L627" t="s">
        <v>1587</v>
      </c>
      <c r="M627" s="1">
        <v>46661</v>
      </c>
      <c r="N627" t="s">
        <v>24</v>
      </c>
      <c r="O627" t="s">
        <v>33</v>
      </c>
    </row>
    <row r="628" spans="1:15" x14ac:dyDescent="0.25">
      <c r="A628" t="s">
        <v>1588</v>
      </c>
      <c r="B628" t="s">
        <v>59</v>
      </c>
      <c r="C628">
        <v>2016</v>
      </c>
      <c r="D628" t="s">
        <v>71</v>
      </c>
      <c r="E628" t="s">
        <v>116</v>
      </c>
      <c r="F628" t="s">
        <v>815</v>
      </c>
      <c r="G628">
        <v>240</v>
      </c>
      <c r="H628" t="s">
        <v>38</v>
      </c>
      <c r="I628" t="s">
        <v>48</v>
      </c>
      <c r="J628" t="s">
        <v>31</v>
      </c>
      <c r="K628" s="4">
        <v>260.02</v>
      </c>
      <c r="L628" t="s">
        <v>1589</v>
      </c>
      <c r="M628" s="1">
        <v>46234</v>
      </c>
      <c r="N628" t="s">
        <v>24</v>
      </c>
      <c r="O628" t="s">
        <v>51</v>
      </c>
    </row>
    <row r="629" spans="1:15" x14ac:dyDescent="0.25">
      <c r="A629" t="s">
        <v>1590</v>
      </c>
      <c r="B629" t="s">
        <v>98</v>
      </c>
      <c r="C629">
        <v>2003</v>
      </c>
      <c r="D629" t="s">
        <v>71</v>
      </c>
      <c r="E629" t="s">
        <v>78</v>
      </c>
      <c r="F629" t="s">
        <v>1043</v>
      </c>
      <c r="G629">
        <v>590</v>
      </c>
      <c r="H629" t="s">
        <v>62</v>
      </c>
      <c r="I629" t="s">
        <v>80</v>
      </c>
      <c r="J629" t="s">
        <v>101</v>
      </c>
      <c r="K629" s="4">
        <v>255.61</v>
      </c>
      <c r="L629" t="s">
        <v>1591</v>
      </c>
      <c r="M629" s="1">
        <v>46377</v>
      </c>
      <c r="N629" t="s">
        <v>75</v>
      </c>
      <c r="O629" t="s">
        <v>51</v>
      </c>
    </row>
    <row r="630" spans="1:15" x14ac:dyDescent="0.25">
      <c r="A630" t="s">
        <v>1592</v>
      </c>
      <c r="B630" t="s">
        <v>35</v>
      </c>
      <c r="C630">
        <v>2006</v>
      </c>
      <c r="D630" t="s">
        <v>44</v>
      </c>
      <c r="E630" t="s">
        <v>104</v>
      </c>
      <c r="F630" t="s">
        <v>1593</v>
      </c>
      <c r="G630">
        <v>320</v>
      </c>
      <c r="H630" t="s">
        <v>47</v>
      </c>
      <c r="I630" t="s">
        <v>151</v>
      </c>
      <c r="J630" t="s">
        <v>63</v>
      </c>
      <c r="K630" s="4">
        <v>75.42</v>
      </c>
      <c r="L630" t="s">
        <v>1594</v>
      </c>
      <c r="M630" s="1">
        <v>45877</v>
      </c>
      <c r="N630" t="s">
        <v>41</v>
      </c>
      <c r="O630" t="s">
        <v>51</v>
      </c>
    </row>
    <row r="631" spans="1:15" x14ac:dyDescent="0.25">
      <c r="A631" t="s">
        <v>1595</v>
      </c>
      <c r="B631" t="s">
        <v>35</v>
      </c>
      <c r="C631">
        <v>2023</v>
      </c>
      <c r="D631" t="s">
        <v>17</v>
      </c>
      <c r="E631" t="s">
        <v>78</v>
      </c>
      <c r="F631" t="s">
        <v>1265</v>
      </c>
      <c r="G631">
        <v>900</v>
      </c>
      <c r="H631" t="s">
        <v>62</v>
      </c>
      <c r="I631" t="s">
        <v>48</v>
      </c>
      <c r="J631" t="s">
        <v>63</v>
      </c>
      <c r="K631" s="4">
        <v>117.95</v>
      </c>
      <c r="L631" t="s">
        <v>1596</v>
      </c>
      <c r="M631" s="1">
        <v>46492</v>
      </c>
      <c r="N631" t="s">
        <v>24</v>
      </c>
      <c r="O631" t="s">
        <v>25</v>
      </c>
    </row>
    <row r="632" spans="1:15" x14ac:dyDescent="0.25">
      <c r="A632" t="s">
        <v>1597</v>
      </c>
      <c r="B632" t="s">
        <v>43</v>
      </c>
      <c r="C632">
        <v>2013</v>
      </c>
      <c r="D632" t="s">
        <v>89</v>
      </c>
      <c r="E632" t="s">
        <v>116</v>
      </c>
      <c r="F632" t="s">
        <v>162</v>
      </c>
      <c r="G632">
        <v>290</v>
      </c>
      <c r="H632" t="s">
        <v>62</v>
      </c>
      <c r="I632" t="s">
        <v>21</v>
      </c>
      <c r="J632" t="s">
        <v>31</v>
      </c>
      <c r="K632" s="4">
        <v>238.48</v>
      </c>
      <c r="L632" t="s">
        <v>1598</v>
      </c>
      <c r="M632" s="1">
        <v>45968</v>
      </c>
      <c r="N632" t="s">
        <v>24</v>
      </c>
      <c r="O632" t="s">
        <v>51</v>
      </c>
    </row>
    <row r="633" spans="1:15" x14ac:dyDescent="0.25">
      <c r="A633" t="s">
        <v>1599</v>
      </c>
      <c r="B633" t="s">
        <v>16</v>
      </c>
      <c r="C633">
        <v>2014</v>
      </c>
      <c r="D633" t="s">
        <v>89</v>
      </c>
      <c r="E633" t="s">
        <v>78</v>
      </c>
      <c r="F633" t="s">
        <v>1600</v>
      </c>
      <c r="G633">
        <v>920</v>
      </c>
      <c r="H633" t="s">
        <v>85</v>
      </c>
      <c r="I633" t="s">
        <v>73</v>
      </c>
      <c r="J633" t="s">
        <v>22</v>
      </c>
      <c r="K633" s="4">
        <v>311.23</v>
      </c>
      <c r="L633" t="s">
        <v>1601</v>
      </c>
      <c r="M633" s="1">
        <v>46592</v>
      </c>
      <c r="N633" t="s">
        <v>41</v>
      </c>
      <c r="O633" t="s">
        <v>51</v>
      </c>
    </row>
    <row r="634" spans="1:15" x14ac:dyDescent="0.25">
      <c r="A634" t="s">
        <v>1602</v>
      </c>
      <c r="B634" t="s">
        <v>138</v>
      </c>
      <c r="C634">
        <v>1990</v>
      </c>
      <c r="D634" t="s">
        <v>27</v>
      </c>
      <c r="E634" t="s">
        <v>54</v>
      </c>
      <c r="F634" t="s">
        <v>145</v>
      </c>
      <c r="G634">
        <v>60</v>
      </c>
      <c r="H634" t="s">
        <v>20</v>
      </c>
      <c r="I634" t="s">
        <v>80</v>
      </c>
      <c r="J634" t="s">
        <v>121</v>
      </c>
      <c r="K634" s="4">
        <v>415.27</v>
      </c>
      <c r="L634" t="s">
        <v>1603</v>
      </c>
      <c r="M634" s="1">
        <v>46585</v>
      </c>
      <c r="N634" t="s">
        <v>75</v>
      </c>
      <c r="O634" t="s">
        <v>51</v>
      </c>
    </row>
    <row r="635" spans="1:15" x14ac:dyDescent="0.25">
      <c r="A635" t="s">
        <v>1604</v>
      </c>
      <c r="B635" t="s">
        <v>53</v>
      </c>
      <c r="C635">
        <v>2015</v>
      </c>
      <c r="D635" t="s">
        <v>108</v>
      </c>
      <c r="E635" t="s">
        <v>45</v>
      </c>
      <c r="F635" t="s">
        <v>317</v>
      </c>
      <c r="G635">
        <v>230</v>
      </c>
      <c r="H635" t="s">
        <v>20</v>
      </c>
      <c r="I635" t="s">
        <v>30</v>
      </c>
      <c r="J635" t="s">
        <v>125</v>
      </c>
      <c r="K635" s="4">
        <v>405.16</v>
      </c>
      <c r="L635" t="s">
        <v>1605</v>
      </c>
      <c r="M635" s="1">
        <v>46093</v>
      </c>
      <c r="N635" t="s">
        <v>41</v>
      </c>
      <c r="O635" t="s">
        <v>51</v>
      </c>
    </row>
    <row r="636" spans="1:15" x14ac:dyDescent="0.25">
      <c r="A636" t="s">
        <v>88</v>
      </c>
      <c r="B636" t="s">
        <v>98</v>
      </c>
      <c r="C636">
        <v>2005</v>
      </c>
      <c r="D636" t="s">
        <v>36</v>
      </c>
      <c r="E636" t="s">
        <v>104</v>
      </c>
      <c r="F636" t="s">
        <v>139</v>
      </c>
      <c r="G636">
        <v>270</v>
      </c>
      <c r="H636" t="s">
        <v>47</v>
      </c>
      <c r="I636" t="s">
        <v>21</v>
      </c>
      <c r="J636" t="s">
        <v>92</v>
      </c>
      <c r="K636" s="4">
        <v>462.09</v>
      </c>
      <c r="L636" t="s">
        <v>1606</v>
      </c>
      <c r="M636" s="1">
        <v>46088</v>
      </c>
      <c r="N636" t="s">
        <v>24</v>
      </c>
      <c r="O636" t="s">
        <v>33</v>
      </c>
    </row>
    <row r="637" spans="1:15" x14ac:dyDescent="0.25">
      <c r="A637" t="s">
        <v>1607</v>
      </c>
      <c r="B637" t="s">
        <v>35</v>
      </c>
      <c r="C637">
        <v>2008</v>
      </c>
      <c r="D637" t="s">
        <v>27</v>
      </c>
      <c r="E637" t="s">
        <v>18</v>
      </c>
      <c r="F637" t="s">
        <v>180</v>
      </c>
      <c r="G637">
        <v>630</v>
      </c>
      <c r="H637" t="s">
        <v>38</v>
      </c>
      <c r="I637" t="s">
        <v>30</v>
      </c>
      <c r="J637" t="s">
        <v>146</v>
      </c>
      <c r="K637" s="4">
        <v>136.74</v>
      </c>
      <c r="L637" t="s">
        <v>1608</v>
      </c>
      <c r="M637" s="1">
        <v>46209</v>
      </c>
      <c r="N637" t="s">
        <v>24</v>
      </c>
      <c r="O637" t="s">
        <v>33</v>
      </c>
    </row>
    <row r="638" spans="1:15" x14ac:dyDescent="0.25">
      <c r="A638" t="s">
        <v>1609</v>
      </c>
      <c r="B638" t="s">
        <v>16</v>
      </c>
      <c r="C638">
        <v>2014</v>
      </c>
      <c r="D638" t="s">
        <v>27</v>
      </c>
      <c r="E638" t="s">
        <v>78</v>
      </c>
      <c r="F638" t="s">
        <v>135</v>
      </c>
      <c r="G638">
        <v>690</v>
      </c>
      <c r="H638" t="s">
        <v>38</v>
      </c>
      <c r="I638" t="s">
        <v>39</v>
      </c>
      <c r="J638" t="s">
        <v>31</v>
      </c>
      <c r="K638" s="4">
        <v>224.66</v>
      </c>
      <c r="L638" t="s">
        <v>1610</v>
      </c>
      <c r="M638" s="1">
        <v>46768</v>
      </c>
      <c r="N638" t="s">
        <v>75</v>
      </c>
      <c r="O638" t="s">
        <v>25</v>
      </c>
    </row>
    <row r="639" spans="1:15" x14ac:dyDescent="0.25">
      <c r="A639" t="s">
        <v>1611</v>
      </c>
      <c r="B639" t="s">
        <v>53</v>
      </c>
      <c r="C639">
        <v>2006</v>
      </c>
      <c r="D639" t="s">
        <v>27</v>
      </c>
      <c r="E639" t="s">
        <v>104</v>
      </c>
      <c r="F639" t="s">
        <v>145</v>
      </c>
      <c r="G639">
        <v>830</v>
      </c>
      <c r="H639" t="s">
        <v>62</v>
      </c>
      <c r="I639" t="s">
        <v>73</v>
      </c>
      <c r="J639" t="s">
        <v>49</v>
      </c>
      <c r="K639" s="4">
        <v>412.27</v>
      </c>
      <c r="L639" t="s">
        <v>1612</v>
      </c>
      <c r="M639" s="1">
        <v>46825</v>
      </c>
      <c r="N639" t="s">
        <v>24</v>
      </c>
      <c r="O639" t="s">
        <v>33</v>
      </c>
    </row>
    <row r="640" spans="1:15" x14ac:dyDescent="0.25">
      <c r="A640" t="s">
        <v>1613</v>
      </c>
      <c r="B640" t="s">
        <v>16</v>
      </c>
      <c r="C640">
        <v>1997</v>
      </c>
      <c r="D640" t="s">
        <v>89</v>
      </c>
      <c r="E640" t="s">
        <v>119</v>
      </c>
      <c r="F640" t="s">
        <v>712</v>
      </c>
      <c r="G640">
        <v>840</v>
      </c>
      <c r="H640" t="s">
        <v>29</v>
      </c>
      <c r="I640" t="s">
        <v>73</v>
      </c>
      <c r="J640" t="s">
        <v>101</v>
      </c>
      <c r="K640" s="4">
        <v>259.02</v>
      </c>
      <c r="L640" t="s">
        <v>1614</v>
      </c>
      <c r="M640" s="1">
        <v>46033</v>
      </c>
      <c r="N640" t="s">
        <v>24</v>
      </c>
      <c r="O640" t="s">
        <v>25</v>
      </c>
    </row>
    <row r="641" spans="1:15" x14ac:dyDescent="0.25">
      <c r="A641" t="s">
        <v>1615</v>
      </c>
      <c r="B641" t="s">
        <v>53</v>
      </c>
      <c r="C641">
        <v>2004</v>
      </c>
      <c r="D641" t="s">
        <v>83</v>
      </c>
      <c r="E641" t="s">
        <v>104</v>
      </c>
      <c r="F641" t="s">
        <v>960</v>
      </c>
      <c r="G641">
        <v>370</v>
      </c>
      <c r="H641" t="s">
        <v>62</v>
      </c>
      <c r="I641" t="s">
        <v>73</v>
      </c>
      <c r="J641" t="s">
        <v>110</v>
      </c>
      <c r="K641" s="4">
        <v>187.52</v>
      </c>
      <c r="L641" t="s">
        <v>1616</v>
      </c>
      <c r="M641" s="1">
        <v>46295</v>
      </c>
      <c r="N641" t="s">
        <v>24</v>
      </c>
      <c r="O641" t="s">
        <v>51</v>
      </c>
    </row>
    <row r="642" spans="1:15" x14ac:dyDescent="0.25">
      <c r="A642" t="s">
        <v>1617</v>
      </c>
      <c r="B642" t="s">
        <v>43</v>
      </c>
      <c r="C642">
        <v>2015</v>
      </c>
      <c r="D642" t="s">
        <v>66</v>
      </c>
      <c r="E642" t="s">
        <v>60</v>
      </c>
      <c r="F642" t="s">
        <v>28</v>
      </c>
      <c r="G642">
        <v>700</v>
      </c>
      <c r="H642" t="s">
        <v>38</v>
      </c>
      <c r="I642" t="s">
        <v>21</v>
      </c>
      <c r="J642" t="s">
        <v>63</v>
      </c>
      <c r="K642" s="4">
        <v>202.25</v>
      </c>
      <c r="L642" t="s">
        <v>1618</v>
      </c>
      <c r="M642" s="1">
        <v>46133</v>
      </c>
      <c r="N642" t="s">
        <v>24</v>
      </c>
      <c r="O642" t="s">
        <v>33</v>
      </c>
    </row>
    <row r="643" spans="1:15" x14ac:dyDescent="0.25">
      <c r="A643" t="s">
        <v>1619</v>
      </c>
      <c r="B643" t="s">
        <v>53</v>
      </c>
      <c r="C643">
        <v>1993</v>
      </c>
      <c r="D643" t="s">
        <v>108</v>
      </c>
      <c r="E643" t="s">
        <v>104</v>
      </c>
      <c r="F643" t="s">
        <v>1620</v>
      </c>
      <c r="G643">
        <v>270</v>
      </c>
      <c r="H643" t="s">
        <v>62</v>
      </c>
      <c r="I643" t="s">
        <v>80</v>
      </c>
      <c r="J643" t="s">
        <v>31</v>
      </c>
      <c r="K643" s="4">
        <v>211.32</v>
      </c>
      <c r="L643" t="s">
        <v>1621</v>
      </c>
      <c r="M643" s="1">
        <v>45934</v>
      </c>
      <c r="N643" t="s">
        <v>24</v>
      </c>
      <c r="O643" t="s">
        <v>51</v>
      </c>
    </row>
    <row r="644" spans="1:15" x14ac:dyDescent="0.25">
      <c r="A644" t="s">
        <v>1622</v>
      </c>
      <c r="B644" t="s">
        <v>134</v>
      </c>
      <c r="C644">
        <v>2004</v>
      </c>
      <c r="D644" t="s">
        <v>44</v>
      </c>
      <c r="E644" t="s">
        <v>18</v>
      </c>
      <c r="F644" t="s">
        <v>67</v>
      </c>
      <c r="G644">
        <v>360</v>
      </c>
      <c r="H644" t="s">
        <v>38</v>
      </c>
      <c r="I644" t="s">
        <v>73</v>
      </c>
      <c r="J644" t="s">
        <v>92</v>
      </c>
      <c r="K644" s="4">
        <v>97.33</v>
      </c>
      <c r="L644" t="s">
        <v>1623</v>
      </c>
      <c r="M644" s="1">
        <v>46438</v>
      </c>
      <c r="N644" t="s">
        <v>75</v>
      </c>
      <c r="O644" t="s">
        <v>25</v>
      </c>
    </row>
    <row r="645" spans="1:15" x14ac:dyDescent="0.25">
      <c r="A645" t="s">
        <v>1624</v>
      </c>
      <c r="B645" t="s">
        <v>138</v>
      </c>
      <c r="C645">
        <v>2007</v>
      </c>
      <c r="D645" t="s">
        <v>66</v>
      </c>
      <c r="E645" t="s">
        <v>78</v>
      </c>
      <c r="F645" t="s">
        <v>236</v>
      </c>
      <c r="G645">
        <v>760</v>
      </c>
      <c r="H645" t="s">
        <v>56</v>
      </c>
      <c r="I645" t="s">
        <v>86</v>
      </c>
      <c r="J645" t="s">
        <v>101</v>
      </c>
      <c r="K645" s="4">
        <v>352.53</v>
      </c>
      <c r="L645" t="s">
        <v>1625</v>
      </c>
      <c r="M645" s="1">
        <v>46869</v>
      </c>
      <c r="N645" t="s">
        <v>24</v>
      </c>
      <c r="O645" t="s">
        <v>25</v>
      </c>
    </row>
    <row r="646" spans="1:15" x14ac:dyDescent="0.25">
      <c r="A646" t="s">
        <v>1626</v>
      </c>
      <c r="B646" t="s">
        <v>134</v>
      </c>
      <c r="C646">
        <v>2017</v>
      </c>
      <c r="D646" t="s">
        <v>83</v>
      </c>
      <c r="E646" t="s">
        <v>99</v>
      </c>
      <c r="F646" t="s">
        <v>458</v>
      </c>
      <c r="G646">
        <v>150</v>
      </c>
      <c r="H646" t="s">
        <v>38</v>
      </c>
      <c r="I646" t="s">
        <v>48</v>
      </c>
      <c r="J646" t="s">
        <v>146</v>
      </c>
      <c r="K646" s="4">
        <v>32.39</v>
      </c>
      <c r="L646" t="s">
        <v>1627</v>
      </c>
      <c r="M646" s="1">
        <v>46417</v>
      </c>
      <c r="N646" t="s">
        <v>24</v>
      </c>
      <c r="O646" t="s">
        <v>33</v>
      </c>
    </row>
    <row r="647" spans="1:15" x14ac:dyDescent="0.25">
      <c r="A647" t="s">
        <v>1628</v>
      </c>
      <c r="B647" t="s">
        <v>98</v>
      </c>
      <c r="C647">
        <v>2023</v>
      </c>
      <c r="D647" t="s">
        <v>17</v>
      </c>
      <c r="E647" t="s">
        <v>72</v>
      </c>
      <c r="F647" t="s">
        <v>960</v>
      </c>
      <c r="G647">
        <v>370</v>
      </c>
      <c r="H647" t="s">
        <v>85</v>
      </c>
      <c r="I647" t="s">
        <v>86</v>
      </c>
      <c r="J647" t="s">
        <v>63</v>
      </c>
      <c r="K647" s="4">
        <v>206.42</v>
      </c>
      <c r="L647" t="s">
        <v>1629</v>
      </c>
      <c r="M647" s="1">
        <v>46619</v>
      </c>
      <c r="N647" t="s">
        <v>24</v>
      </c>
      <c r="O647" t="s">
        <v>33</v>
      </c>
    </row>
    <row r="648" spans="1:15" x14ac:dyDescent="0.25">
      <c r="A648" t="s">
        <v>1630</v>
      </c>
      <c r="B648" t="s">
        <v>134</v>
      </c>
      <c r="C648">
        <v>2024</v>
      </c>
      <c r="D648" t="s">
        <v>89</v>
      </c>
      <c r="E648" t="s">
        <v>54</v>
      </c>
      <c r="F648" t="s">
        <v>162</v>
      </c>
      <c r="G648">
        <v>550</v>
      </c>
      <c r="H648" t="s">
        <v>56</v>
      </c>
      <c r="I648" t="s">
        <v>39</v>
      </c>
      <c r="J648" t="s">
        <v>31</v>
      </c>
      <c r="K648" s="4">
        <v>352.05</v>
      </c>
      <c r="L648" t="s">
        <v>1631</v>
      </c>
      <c r="M648" s="1">
        <v>46679</v>
      </c>
      <c r="N648" t="s">
        <v>75</v>
      </c>
      <c r="O648" t="s">
        <v>33</v>
      </c>
    </row>
    <row r="649" spans="1:15" x14ac:dyDescent="0.25">
      <c r="A649" t="s">
        <v>1632</v>
      </c>
      <c r="B649" t="s">
        <v>16</v>
      </c>
      <c r="C649">
        <v>2003</v>
      </c>
      <c r="D649" t="s">
        <v>89</v>
      </c>
      <c r="E649" t="s">
        <v>116</v>
      </c>
      <c r="F649" t="s">
        <v>885</v>
      </c>
      <c r="G649">
        <v>910</v>
      </c>
      <c r="H649" t="s">
        <v>29</v>
      </c>
      <c r="I649" t="s">
        <v>91</v>
      </c>
      <c r="J649" t="s">
        <v>49</v>
      </c>
      <c r="K649" s="4">
        <v>444.59</v>
      </c>
      <c r="L649" t="s">
        <v>1633</v>
      </c>
      <c r="M649" s="1">
        <v>46354</v>
      </c>
      <c r="N649" t="s">
        <v>24</v>
      </c>
      <c r="O649" t="s">
        <v>51</v>
      </c>
    </row>
    <row r="650" spans="1:15" x14ac:dyDescent="0.25">
      <c r="A650" t="s">
        <v>1634</v>
      </c>
      <c r="B650" t="s">
        <v>43</v>
      </c>
      <c r="C650">
        <v>1994</v>
      </c>
      <c r="D650" t="s">
        <v>95</v>
      </c>
      <c r="E650" t="s">
        <v>72</v>
      </c>
      <c r="F650" t="s">
        <v>603</v>
      </c>
      <c r="G650">
        <v>930</v>
      </c>
      <c r="H650" t="s">
        <v>62</v>
      </c>
      <c r="I650" t="s">
        <v>73</v>
      </c>
      <c r="J650" t="s">
        <v>101</v>
      </c>
      <c r="K650" s="4">
        <v>320.02999999999997</v>
      </c>
      <c r="L650" t="s">
        <v>1635</v>
      </c>
      <c r="M650" s="1">
        <v>46288</v>
      </c>
      <c r="N650" t="s">
        <v>75</v>
      </c>
      <c r="O650" t="s">
        <v>33</v>
      </c>
    </row>
    <row r="651" spans="1:15" x14ac:dyDescent="0.25">
      <c r="A651" t="s">
        <v>1636</v>
      </c>
      <c r="B651" t="s">
        <v>16</v>
      </c>
      <c r="C651">
        <v>2001</v>
      </c>
      <c r="D651" t="s">
        <v>17</v>
      </c>
      <c r="E651" t="s">
        <v>60</v>
      </c>
      <c r="F651" t="s">
        <v>1163</v>
      </c>
      <c r="G651">
        <v>400</v>
      </c>
      <c r="H651" t="s">
        <v>38</v>
      </c>
      <c r="I651" t="s">
        <v>73</v>
      </c>
      <c r="J651" t="s">
        <v>125</v>
      </c>
      <c r="K651" s="4">
        <v>160.66</v>
      </c>
      <c r="L651" t="s">
        <v>1637</v>
      </c>
      <c r="M651" s="1">
        <v>46672</v>
      </c>
      <c r="N651" t="s">
        <v>75</v>
      </c>
      <c r="O651" t="s">
        <v>33</v>
      </c>
    </row>
    <row r="652" spans="1:15" x14ac:dyDescent="0.25">
      <c r="A652" t="s">
        <v>1638</v>
      </c>
      <c r="B652" t="s">
        <v>35</v>
      </c>
      <c r="C652">
        <v>2016</v>
      </c>
      <c r="D652" t="s">
        <v>44</v>
      </c>
      <c r="E652" t="s">
        <v>78</v>
      </c>
      <c r="F652" t="s">
        <v>901</v>
      </c>
      <c r="G652">
        <v>550</v>
      </c>
      <c r="H652" t="s">
        <v>20</v>
      </c>
      <c r="I652" t="s">
        <v>91</v>
      </c>
      <c r="J652" t="s">
        <v>101</v>
      </c>
      <c r="K652" s="4">
        <v>479.25</v>
      </c>
      <c r="L652" t="s">
        <v>1639</v>
      </c>
      <c r="M652" s="1">
        <v>46293</v>
      </c>
      <c r="N652" t="s">
        <v>41</v>
      </c>
      <c r="O652" t="s">
        <v>33</v>
      </c>
    </row>
    <row r="653" spans="1:15" x14ac:dyDescent="0.25">
      <c r="A653" t="s">
        <v>1640</v>
      </c>
      <c r="B653" t="s">
        <v>53</v>
      </c>
      <c r="C653">
        <v>1994</v>
      </c>
      <c r="D653" t="s">
        <v>27</v>
      </c>
      <c r="E653" t="s">
        <v>116</v>
      </c>
      <c r="F653" t="s">
        <v>145</v>
      </c>
      <c r="G653">
        <v>840</v>
      </c>
      <c r="H653" t="s">
        <v>56</v>
      </c>
      <c r="I653" t="s">
        <v>151</v>
      </c>
      <c r="J653" t="s">
        <v>31</v>
      </c>
      <c r="K653" s="4">
        <v>255.35</v>
      </c>
      <c r="L653" t="s">
        <v>1641</v>
      </c>
      <c r="M653" s="1">
        <v>46466</v>
      </c>
      <c r="N653" t="s">
        <v>24</v>
      </c>
      <c r="O653" t="s">
        <v>33</v>
      </c>
    </row>
    <row r="654" spans="1:15" x14ac:dyDescent="0.25">
      <c r="A654" t="s">
        <v>1642</v>
      </c>
      <c r="B654" t="s">
        <v>134</v>
      </c>
      <c r="C654">
        <v>2022</v>
      </c>
      <c r="D654" t="s">
        <v>36</v>
      </c>
      <c r="E654" t="s">
        <v>99</v>
      </c>
      <c r="F654" t="s">
        <v>603</v>
      </c>
      <c r="G654">
        <v>390</v>
      </c>
      <c r="H654" t="s">
        <v>38</v>
      </c>
      <c r="I654" t="s">
        <v>21</v>
      </c>
      <c r="J654" t="s">
        <v>22</v>
      </c>
      <c r="K654" s="4">
        <v>97.45</v>
      </c>
      <c r="L654" t="s">
        <v>1643</v>
      </c>
      <c r="M654" s="1">
        <v>46485</v>
      </c>
      <c r="N654" t="s">
        <v>41</v>
      </c>
      <c r="O654" t="s">
        <v>25</v>
      </c>
    </row>
    <row r="655" spans="1:15" x14ac:dyDescent="0.25">
      <c r="A655" t="s">
        <v>721</v>
      </c>
      <c r="B655" t="s">
        <v>43</v>
      </c>
      <c r="C655">
        <v>2005</v>
      </c>
      <c r="D655" t="s">
        <v>44</v>
      </c>
      <c r="E655" t="s">
        <v>116</v>
      </c>
      <c r="F655" t="s">
        <v>1644</v>
      </c>
      <c r="G655">
        <v>580</v>
      </c>
      <c r="H655" t="s">
        <v>20</v>
      </c>
      <c r="I655" t="s">
        <v>39</v>
      </c>
      <c r="J655" t="s">
        <v>146</v>
      </c>
      <c r="K655" s="4">
        <v>183.69</v>
      </c>
      <c r="L655" t="s">
        <v>1645</v>
      </c>
      <c r="M655" s="1">
        <v>45913</v>
      </c>
      <c r="N655" t="s">
        <v>41</v>
      </c>
      <c r="O655" t="s">
        <v>25</v>
      </c>
    </row>
    <row r="656" spans="1:15" x14ac:dyDescent="0.25">
      <c r="A656" t="s">
        <v>905</v>
      </c>
      <c r="B656" t="s">
        <v>138</v>
      </c>
      <c r="C656">
        <v>1992</v>
      </c>
      <c r="D656" t="s">
        <v>27</v>
      </c>
      <c r="E656" t="s">
        <v>99</v>
      </c>
      <c r="F656" t="s">
        <v>139</v>
      </c>
      <c r="G656">
        <v>510</v>
      </c>
      <c r="H656" t="s">
        <v>85</v>
      </c>
      <c r="I656" t="s">
        <v>21</v>
      </c>
      <c r="J656" t="s">
        <v>146</v>
      </c>
      <c r="K656" s="4">
        <v>69.45</v>
      </c>
      <c r="L656" t="s">
        <v>1646</v>
      </c>
      <c r="M656" s="1">
        <v>46580</v>
      </c>
      <c r="N656" t="s">
        <v>41</v>
      </c>
      <c r="O656" t="s">
        <v>51</v>
      </c>
    </row>
    <row r="657" spans="1:15" x14ac:dyDescent="0.25">
      <c r="A657" t="s">
        <v>1647</v>
      </c>
      <c r="B657" t="s">
        <v>138</v>
      </c>
      <c r="C657">
        <v>2005</v>
      </c>
      <c r="D657" t="s">
        <v>95</v>
      </c>
      <c r="E657" t="s">
        <v>116</v>
      </c>
      <c r="F657" t="s">
        <v>1648</v>
      </c>
      <c r="G657">
        <v>500</v>
      </c>
      <c r="H657" t="s">
        <v>62</v>
      </c>
      <c r="I657" t="s">
        <v>39</v>
      </c>
      <c r="J657" t="s">
        <v>125</v>
      </c>
      <c r="K657" s="4">
        <v>159.79</v>
      </c>
      <c r="L657" t="s">
        <v>1649</v>
      </c>
      <c r="M657" s="1">
        <v>46021</v>
      </c>
      <c r="N657" t="s">
        <v>75</v>
      </c>
      <c r="O657" t="s">
        <v>51</v>
      </c>
    </row>
    <row r="658" spans="1:15" x14ac:dyDescent="0.25">
      <c r="A658" t="s">
        <v>1650</v>
      </c>
      <c r="B658" t="s">
        <v>134</v>
      </c>
      <c r="C658">
        <v>2002</v>
      </c>
      <c r="D658" t="s">
        <v>89</v>
      </c>
      <c r="E658" t="s">
        <v>45</v>
      </c>
      <c r="F658" t="s">
        <v>145</v>
      </c>
      <c r="G658">
        <v>550</v>
      </c>
      <c r="H658" t="s">
        <v>85</v>
      </c>
      <c r="I658" t="s">
        <v>91</v>
      </c>
      <c r="J658" t="s">
        <v>49</v>
      </c>
      <c r="K658" s="4">
        <v>132.22</v>
      </c>
      <c r="L658" t="s">
        <v>1651</v>
      </c>
      <c r="M658" s="1">
        <v>46367</v>
      </c>
      <c r="N658" t="s">
        <v>24</v>
      </c>
      <c r="O658" t="s">
        <v>25</v>
      </c>
    </row>
    <row r="659" spans="1:15" x14ac:dyDescent="0.25">
      <c r="A659" t="s">
        <v>1652</v>
      </c>
      <c r="B659" t="s">
        <v>53</v>
      </c>
      <c r="C659">
        <v>2010</v>
      </c>
      <c r="D659" t="s">
        <v>83</v>
      </c>
      <c r="E659" t="s">
        <v>60</v>
      </c>
      <c r="F659" t="s">
        <v>1421</v>
      </c>
      <c r="G659">
        <v>110</v>
      </c>
      <c r="H659" t="s">
        <v>56</v>
      </c>
      <c r="I659" t="s">
        <v>21</v>
      </c>
      <c r="J659" t="s">
        <v>49</v>
      </c>
      <c r="K659" s="4">
        <v>50.46</v>
      </c>
      <c r="L659" t="s">
        <v>1653</v>
      </c>
      <c r="M659" s="1">
        <v>46790</v>
      </c>
      <c r="N659" t="s">
        <v>41</v>
      </c>
      <c r="O659" t="s">
        <v>33</v>
      </c>
    </row>
    <row r="660" spans="1:15" x14ac:dyDescent="0.25">
      <c r="A660" t="s">
        <v>1654</v>
      </c>
      <c r="B660" t="s">
        <v>35</v>
      </c>
      <c r="C660">
        <v>2006</v>
      </c>
      <c r="D660" t="s">
        <v>108</v>
      </c>
      <c r="E660" t="s">
        <v>119</v>
      </c>
      <c r="F660" t="s">
        <v>1097</v>
      </c>
      <c r="G660">
        <v>870</v>
      </c>
      <c r="H660" t="s">
        <v>20</v>
      </c>
      <c r="I660" t="s">
        <v>48</v>
      </c>
      <c r="J660" t="s">
        <v>49</v>
      </c>
      <c r="K660" s="4">
        <v>406.44</v>
      </c>
      <c r="L660" t="s">
        <v>1655</v>
      </c>
      <c r="M660" s="1">
        <v>46312</v>
      </c>
      <c r="N660" t="s">
        <v>75</v>
      </c>
      <c r="O660" t="s">
        <v>33</v>
      </c>
    </row>
    <row r="661" spans="1:15" x14ac:dyDescent="0.25">
      <c r="A661" t="s">
        <v>1656</v>
      </c>
      <c r="B661" t="s">
        <v>16</v>
      </c>
      <c r="C661">
        <v>2018</v>
      </c>
      <c r="D661" t="s">
        <v>27</v>
      </c>
      <c r="E661" t="s">
        <v>72</v>
      </c>
      <c r="F661" t="s">
        <v>825</v>
      </c>
      <c r="G661">
        <v>410</v>
      </c>
      <c r="H661" t="s">
        <v>29</v>
      </c>
      <c r="I661" t="s">
        <v>21</v>
      </c>
      <c r="J661" t="s">
        <v>49</v>
      </c>
      <c r="K661" s="4">
        <v>424.35</v>
      </c>
      <c r="L661" t="s">
        <v>1657</v>
      </c>
      <c r="M661" s="1">
        <v>46072</v>
      </c>
      <c r="N661" t="s">
        <v>41</v>
      </c>
      <c r="O661" t="s">
        <v>25</v>
      </c>
    </row>
    <row r="662" spans="1:15" x14ac:dyDescent="0.25">
      <c r="A662" t="s">
        <v>1658</v>
      </c>
      <c r="B662" t="s">
        <v>35</v>
      </c>
      <c r="C662">
        <v>2018</v>
      </c>
      <c r="D662" t="s">
        <v>83</v>
      </c>
      <c r="E662" t="s">
        <v>116</v>
      </c>
      <c r="F662" t="s">
        <v>1659</v>
      </c>
      <c r="G662">
        <v>770</v>
      </c>
      <c r="H662" t="s">
        <v>85</v>
      </c>
      <c r="I662" t="s">
        <v>39</v>
      </c>
      <c r="J662" t="s">
        <v>125</v>
      </c>
      <c r="K662" s="4">
        <v>129.75</v>
      </c>
      <c r="L662" t="s">
        <v>1660</v>
      </c>
      <c r="M662" s="1">
        <v>46479</v>
      </c>
      <c r="N662" t="s">
        <v>24</v>
      </c>
      <c r="O662" t="s">
        <v>51</v>
      </c>
    </row>
    <row r="663" spans="1:15" x14ac:dyDescent="0.25">
      <c r="A663" t="s">
        <v>1661</v>
      </c>
      <c r="B663" t="s">
        <v>59</v>
      </c>
      <c r="C663">
        <v>1992</v>
      </c>
      <c r="D663" t="s">
        <v>44</v>
      </c>
      <c r="E663" t="s">
        <v>45</v>
      </c>
      <c r="F663" t="s">
        <v>28</v>
      </c>
      <c r="G663">
        <v>240</v>
      </c>
      <c r="H663" t="s">
        <v>20</v>
      </c>
      <c r="I663" t="s">
        <v>91</v>
      </c>
      <c r="J663" t="s">
        <v>101</v>
      </c>
      <c r="K663" s="4">
        <v>292.38</v>
      </c>
      <c r="L663" t="s">
        <v>1662</v>
      </c>
      <c r="M663" s="1">
        <v>46283</v>
      </c>
      <c r="N663" t="s">
        <v>41</v>
      </c>
      <c r="O663" t="s">
        <v>25</v>
      </c>
    </row>
    <row r="664" spans="1:15" x14ac:dyDescent="0.25">
      <c r="A664" t="s">
        <v>1663</v>
      </c>
      <c r="B664" t="s">
        <v>59</v>
      </c>
      <c r="C664">
        <v>1998</v>
      </c>
      <c r="D664" t="s">
        <v>108</v>
      </c>
      <c r="E664" t="s">
        <v>72</v>
      </c>
      <c r="F664" t="s">
        <v>326</v>
      </c>
      <c r="G664">
        <v>30</v>
      </c>
      <c r="H664" t="s">
        <v>56</v>
      </c>
      <c r="I664" t="s">
        <v>86</v>
      </c>
      <c r="J664" t="s">
        <v>125</v>
      </c>
      <c r="K664" s="4">
        <v>211.84</v>
      </c>
      <c r="L664" t="s">
        <v>1664</v>
      </c>
      <c r="M664" s="1">
        <v>46090</v>
      </c>
      <c r="N664" t="s">
        <v>41</v>
      </c>
      <c r="O664" t="s">
        <v>25</v>
      </c>
    </row>
    <row r="665" spans="1:15" x14ac:dyDescent="0.25">
      <c r="A665" t="s">
        <v>1665</v>
      </c>
      <c r="B665" t="s">
        <v>138</v>
      </c>
      <c r="C665">
        <v>1991</v>
      </c>
      <c r="D665" t="s">
        <v>89</v>
      </c>
      <c r="E665" t="s">
        <v>78</v>
      </c>
      <c r="F665" t="s">
        <v>885</v>
      </c>
      <c r="G665">
        <v>330</v>
      </c>
      <c r="H665" t="s">
        <v>62</v>
      </c>
      <c r="I665" t="s">
        <v>80</v>
      </c>
      <c r="J665" t="s">
        <v>22</v>
      </c>
      <c r="K665" s="4">
        <v>485.82</v>
      </c>
      <c r="L665" t="s">
        <v>1666</v>
      </c>
      <c r="M665" s="1">
        <v>46262</v>
      </c>
      <c r="N665" t="s">
        <v>75</v>
      </c>
      <c r="O665" t="s">
        <v>51</v>
      </c>
    </row>
    <row r="666" spans="1:15" x14ac:dyDescent="0.25">
      <c r="A666" t="s">
        <v>1667</v>
      </c>
      <c r="B666" t="s">
        <v>98</v>
      </c>
      <c r="C666">
        <v>1998</v>
      </c>
      <c r="D666" t="s">
        <v>27</v>
      </c>
      <c r="E666" t="s">
        <v>104</v>
      </c>
      <c r="F666" t="s">
        <v>162</v>
      </c>
      <c r="G666">
        <v>920</v>
      </c>
      <c r="H666" t="s">
        <v>56</v>
      </c>
      <c r="I666" t="s">
        <v>80</v>
      </c>
      <c r="J666" t="s">
        <v>121</v>
      </c>
      <c r="K666" s="4">
        <v>242.83</v>
      </c>
      <c r="L666" t="s">
        <v>1668</v>
      </c>
      <c r="M666" s="1">
        <v>46644</v>
      </c>
      <c r="N666" t="s">
        <v>24</v>
      </c>
      <c r="O666" t="s">
        <v>25</v>
      </c>
    </row>
    <row r="667" spans="1:15" x14ac:dyDescent="0.25">
      <c r="A667" t="s">
        <v>1669</v>
      </c>
      <c r="B667" t="s">
        <v>43</v>
      </c>
      <c r="C667">
        <v>2004</v>
      </c>
      <c r="D667" t="s">
        <v>17</v>
      </c>
      <c r="E667" t="s">
        <v>119</v>
      </c>
      <c r="F667" t="s">
        <v>211</v>
      </c>
      <c r="G667">
        <v>670</v>
      </c>
      <c r="H667" t="s">
        <v>38</v>
      </c>
      <c r="I667" t="s">
        <v>39</v>
      </c>
      <c r="J667" t="s">
        <v>22</v>
      </c>
      <c r="K667" s="4">
        <v>354.3</v>
      </c>
      <c r="L667" t="s">
        <v>1670</v>
      </c>
      <c r="M667" s="1">
        <v>46908</v>
      </c>
      <c r="N667" t="s">
        <v>75</v>
      </c>
      <c r="O667" t="s">
        <v>33</v>
      </c>
    </row>
    <row r="668" spans="1:15" x14ac:dyDescent="0.25">
      <c r="A668" t="s">
        <v>1671</v>
      </c>
      <c r="B668" t="s">
        <v>59</v>
      </c>
      <c r="C668">
        <v>1993</v>
      </c>
      <c r="D668" t="s">
        <v>71</v>
      </c>
      <c r="E668" t="s">
        <v>116</v>
      </c>
      <c r="F668" t="s">
        <v>28</v>
      </c>
      <c r="G668">
        <v>830</v>
      </c>
      <c r="H668" t="s">
        <v>38</v>
      </c>
      <c r="I668" t="s">
        <v>21</v>
      </c>
      <c r="J668" t="s">
        <v>121</v>
      </c>
      <c r="K668" s="4">
        <v>193.97</v>
      </c>
      <c r="L668" t="s">
        <v>1672</v>
      </c>
      <c r="M668" s="1">
        <v>46814</v>
      </c>
      <c r="N668" t="s">
        <v>41</v>
      </c>
      <c r="O668" t="s">
        <v>25</v>
      </c>
    </row>
    <row r="669" spans="1:15" x14ac:dyDescent="0.25">
      <c r="A669" t="s">
        <v>1673</v>
      </c>
      <c r="B669" t="s">
        <v>98</v>
      </c>
      <c r="C669">
        <v>2017</v>
      </c>
      <c r="D669" t="s">
        <v>83</v>
      </c>
      <c r="E669" t="s">
        <v>116</v>
      </c>
      <c r="F669" t="s">
        <v>1674</v>
      </c>
      <c r="G669">
        <v>820</v>
      </c>
      <c r="H669" t="s">
        <v>38</v>
      </c>
      <c r="I669" t="s">
        <v>86</v>
      </c>
      <c r="J669" t="s">
        <v>22</v>
      </c>
      <c r="K669" s="4">
        <v>304.18</v>
      </c>
      <c r="L669" t="s">
        <v>1675</v>
      </c>
      <c r="M669" s="1">
        <v>45977</v>
      </c>
      <c r="N669" t="s">
        <v>24</v>
      </c>
      <c r="O669" t="s">
        <v>51</v>
      </c>
    </row>
    <row r="670" spans="1:15" x14ac:dyDescent="0.25">
      <c r="A670" t="s">
        <v>1676</v>
      </c>
      <c r="B670" t="s">
        <v>134</v>
      </c>
      <c r="C670">
        <v>2016</v>
      </c>
      <c r="D670" t="s">
        <v>108</v>
      </c>
      <c r="E670" t="s">
        <v>54</v>
      </c>
      <c r="F670" t="s">
        <v>79</v>
      </c>
      <c r="G670">
        <v>670</v>
      </c>
      <c r="H670" t="s">
        <v>38</v>
      </c>
      <c r="I670" t="s">
        <v>151</v>
      </c>
      <c r="J670" t="s">
        <v>22</v>
      </c>
      <c r="K670" s="4">
        <v>16.739999999999998</v>
      </c>
      <c r="L670" t="s">
        <v>1677</v>
      </c>
      <c r="M670" s="1">
        <v>46539</v>
      </c>
      <c r="N670" t="s">
        <v>24</v>
      </c>
      <c r="O670" t="s">
        <v>51</v>
      </c>
    </row>
    <row r="671" spans="1:15" x14ac:dyDescent="0.25">
      <c r="A671" t="s">
        <v>1678</v>
      </c>
      <c r="B671" t="s">
        <v>59</v>
      </c>
      <c r="C671">
        <v>2010</v>
      </c>
      <c r="D671" t="s">
        <v>83</v>
      </c>
      <c r="E671" t="s">
        <v>116</v>
      </c>
      <c r="F671" t="s">
        <v>135</v>
      </c>
      <c r="G671">
        <v>850</v>
      </c>
      <c r="H671" t="s">
        <v>62</v>
      </c>
      <c r="I671" t="s">
        <v>151</v>
      </c>
      <c r="J671" t="s">
        <v>121</v>
      </c>
      <c r="K671" s="4">
        <v>452.22</v>
      </c>
      <c r="L671" t="s">
        <v>1679</v>
      </c>
      <c r="M671" s="1">
        <v>46057</v>
      </c>
      <c r="N671" t="s">
        <v>24</v>
      </c>
      <c r="O671" t="s">
        <v>25</v>
      </c>
    </row>
    <row r="672" spans="1:15" x14ac:dyDescent="0.25">
      <c r="A672" t="s">
        <v>1680</v>
      </c>
      <c r="B672" t="s">
        <v>16</v>
      </c>
      <c r="C672">
        <v>2009</v>
      </c>
      <c r="D672" t="s">
        <v>44</v>
      </c>
      <c r="E672" t="s">
        <v>104</v>
      </c>
      <c r="F672" t="s">
        <v>79</v>
      </c>
      <c r="G672">
        <v>400</v>
      </c>
      <c r="H672" t="s">
        <v>29</v>
      </c>
      <c r="I672" t="s">
        <v>91</v>
      </c>
      <c r="J672" t="s">
        <v>146</v>
      </c>
      <c r="K672" s="4">
        <v>343.9</v>
      </c>
      <c r="L672" t="s">
        <v>1681</v>
      </c>
      <c r="M672" s="1">
        <v>46332</v>
      </c>
      <c r="N672" t="s">
        <v>24</v>
      </c>
      <c r="O672" t="s">
        <v>51</v>
      </c>
    </row>
    <row r="673" spans="1:15" x14ac:dyDescent="0.25">
      <c r="A673" t="s">
        <v>1682</v>
      </c>
      <c r="B673" t="s">
        <v>98</v>
      </c>
      <c r="C673">
        <v>2007</v>
      </c>
      <c r="D673" t="s">
        <v>36</v>
      </c>
      <c r="E673" t="s">
        <v>60</v>
      </c>
      <c r="F673" t="s">
        <v>1683</v>
      </c>
      <c r="G673">
        <v>930</v>
      </c>
      <c r="H673" t="s">
        <v>56</v>
      </c>
      <c r="I673" t="s">
        <v>30</v>
      </c>
      <c r="J673" t="s">
        <v>110</v>
      </c>
      <c r="K673" s="4">
        <v>286.79000000000002</v>
      </c>
      <c r="L673" t="s">
        <v>1684</v>
      </c>
      <c r="M673" s="1">
        <v>46450</v>
      </c>
      <c r="N673" t="s">
        <v>24</v>
      </c>
      <c r="O673" t="s">
        <v>33</v>
      </c>
    </row>
    <row r="674" spans="1:15" x14ac:dyDescent="0.25">
      <c r="A674" t="s">
        <v>1685</v>
      </c>
      <c r="B674" t="s">
        <v>35</v>
      </c>
      <c r="C674">
        <v>1995</v>
      </c>
      <c r="D674" t="s">
        <v>44</v>
      </c>
      <c r="E674" t="s">
        <v>78</v>
      </c>
      <c r="F674" t="s">
        <v>1459</v>
      </c>
      <c r="G674">
        <v>600</v>
      </c>
      <c r="H674" t="s">
        <v>20</v>
      </c>
      <c r="I674" t="s">
        <v>48</v>
      </c>
      <c r="J674" t="s">
        <v>110</v>
      </c>
      <c r="K674" s="4">
        <v>309.60000000000002</v>
      </c>
      <c r="L674" t="s">
        <v>1686</v>
      </c>
      <c r="M674" s="1">
        <v>46545</v>
      </c>
      <c r="N674" t="s">
        <v>75</v>
      </c>
      <c r="O674" t="s">
        <v>51</v>
      </c>
    </row>
    <row r="675" spans="1:15" x14ac:dyDescent="0.25">
      <c r="A675" t="s">
        <v>1687</v>
      </c>
      <c r="B675" t="s">
        <v>59</v>
      </c>
      <c r="C675">
        <v>2012</v>
      </c>
      <c r="D675" t="s">
        <v>27</v>
      </c>
      <c r="E675" t="s">
        <v>45</v>
      </c>
      <c r="F675" t="s">
        <v>250</v>
      </c>
      <c r="G675">
        <v>860</v>
      </c>
      <c r="H675" t="s">
        <v>85</v>
      </c>
      <c r="I675" t="s">
        <v>80</v>
      </c>
      <c r="J675" t="s">
        <v>92</v>
      </c>
      <c r="K675" s="4">
        <v>405.33</v>
      </c>
      <c r="L675" t="s">
        <v>1688</v>
      </c>
      <c r="M675" s="1">
        <v>46924</v>
      </c>
      <c r="N675" t="s">
        <v>75</v>
      </c>
      <c r="O675" t="s">
        <v>25</v>
      </c>
    </row>
    <row r="676" spans="1:15" x14ac:dyDescent="0.25">
      <c r="A676" t="s">
        <v>1689</v>
      </c>
      <c r="B676" t="s">
        <v>98</v>
      </c>
      <c r="C676">
        <v>1994</v>
      </c>
      <c r="D676" t="s">
        <v>36</v>
      </c>
      <c r="E676" t="s">
        <v>116</v>
      </c>
      <c r="F676" t="s">
        <v>1690</v>
      </c>
      <c r="G676">
        <v>480</v>
      </c>
      <c r="H676" t="s">
        <v>85</v>
      </c>
      <c r="I676" t="s">
        <v>86</v>
      </c>
      <c r="J676" t="s">
        <v>121</v>
      </c>
      <c r="K676" s="4">
        <v>270.58999999999997</v>
      </c>
      <c r="L676" t="s">
        <v>1691</v>
      </c>
      <c r="M676" s="1">
        <v>46906</v>
      </c>
      <c r="N676" t="s">
        <v>24</v>
      </c>
      <c r="O676" t="s">
        <v>33</v>
      </c>
    </row>
    <row r="677" spans="1:15" x14ac:dyDescent="0.25">
      <c r="A677" t="s">
        <v>1692</v>
      </c>
      <c r="B677" t="s">
        <v>43</v>
      </c>
      <c r="C677">
        <v>2017</v>
      </c>
      <c r="D677" t="s">
        <v>27</v>
      </c>
      <c r="E677" t="s">
        <v>45</v>
      </c>
      <c r="F677" t="s">
        <v>145</v>
      </c>
      <c r="G677">
        <v>490</v>
      </c>
      <c r="H677" t="s">
        <v>29</v>
      </c>
      <c r="I677" t="s">
        <v>39</v>
      </c>
      <c r="J677" t="s">
        <v>125</v>
      </c>
      <c r="K677" s="4">
        <v>163.61000000000001</v>
      </c>
      <c r="L677" t="s">
        <v>1693</v>
      </c>
      <c r="M677" s="1">
        <v>46156</v>
      </c>
      <c r="N677" t="s">
        <v>41</v>
      </c>
      <c r="O677" t="s">
        <v>51</v>
      </c>
    </row>
    <row r="678" spans="1:15" x14ac:dyDescent="0.25">
      <c r="A678" t="s">
        <v>1694</v>
      </c>
      <c r="B678" t="s">
        <v>134</v>
      </c>
      <c r="C678">
        <v>1991</v>
      </c>
      <c r="D678" t="s">
        <v>95</v>
      </c>
      <c r="E678" t="s">
        <v>60</v>
      </c>
      <c r="F678" t="s">
        <v>1695</v>
      </c>
      <c r="G678">
        <v>770</v>
      </c>
      <c r="H678" t="s">
        <v>85</v>
      </c>
      <c r="I678" t="s">
        <v>21</v>
      </c>
      <c r="J678" t="s">
        <v>31</v>
      </c>
      <c r="K678" s="4">
        <v>497.32</v>
      </c>
      <c r="L678" t="s">
        <v>1696</v>
      </c>
      <c r="M678" s="1">
        <v>46666</v>
      </c>
      <c r="N678" t="s">
        <v>24</v>
      </c>
      <c r="O678" t="s">
        <v>51</v>
      </c>
    </row>
    <row r="679" spans="1:15" x14ac:dyDescent="0.25">
      <c r="A679" t="s">
        <v>1697</v>
      </c>
      <c r="B679" t="s">
        <v>53</v>
      </c>
      <c r="C679">
        <v>2007</v>
      </c>
      <c r="D679" t="s">
        <v>108</v>
      </c>
      <c r="E679" t="s">
        <v>78</v>
      </c>
      <c r="F679" t="s">
        <v>1698</v>
      </c>
      <c r="G679">
        <v>670</v>
      </c>
      <c r="H679" t="s">
        <v>56</v>
      </c>
      <c r="I679" t="s">
        <v>86</v>
      </c>
      <c r="J679" t="s">
        <v>146</v>
      </c>
      <c r="K679" s="4">
        <v>489.23</v>
      </c>
      <c r="L679" t="s">
        <v>1699</v>
      </c>
      <c r="M679" s="1">
        <v>46771</v>
      </c>
      <c r="N679" t="s">
        <v>24</v>
      </c>
      <c r="O679" t="s">
        <v>25</v>
      </c>
    </row>
    <row r="680" spans="1:15" x14ac:dyDescent="0.25">
      <c r="A680" t="s">
        <v>1700</v>
      </c>
      <c r="B680" t="s">
        <v>43</v>
      </c>
      <c r="C680">
        <v>1990</v>
      </c>
      <c r="D680" t="s">
        <v>108</v>
      </c>
      <c r="E680" t="s">
        <v>72</v>
      </c>
      <c r="F680" t="s">
        <v>1701</v>
      </c>
      <c r="G680">
        <v>280</v>
      </c>
      <c r="H680" t="s">
        <v>62</v>
      </c>
      <c r="I680" t="s">
        <v>86</v>
      </c>
      <c r="J680" t="s">
        <v>49</v>
      </c>
      <c r="K680" s="4">
        <v>170.12</v>
      </c>
      <c r="L680" t="s">
        <v>1702</v>
      </c>
      <c r="M680" s="1">
        <v>45996</v>
      </c>
      <c r="N680" t="s">
        <v>24</v>
      </c>
      <c r="O680" t="s">
        <v>33</v>
      </c>
    </row>
    <row r="681" spans="1:15" x14ac:dyDescent="0.25">
      <c r="A681" t="s">
        <v>1703</v>
      </c>
      <c r="B681" t="s">
        <v>16</v>
      </c>
      <c r="C681">
        <v>2021</v>
      </c>
      <c r="D681" t="s">
        <v>17</v>
      </c>
      <c r="E681" t="s">
        <v>54</v>
      </c>
      <c r="F681" t="s">
        <v>1488</v>
      </c>
      <c r="G681">
        <v>240</v>
      </c>
      <c r="H681" t="s">
        <v>47</v>
      </c>
      <c r="I681" t="s">
        <v>21</v>
      </c>
      <c r="J681" t="s">
        <v>92</v>
      </c>
      <c r="K681" s="4">
        <v>266.07</v>
      </c>
      <c r="L681" t="s">
        <v>1704</v>
      </c>
      <c r="M681" s="1">
        <v>46776</v>
      </c>
      <c r="N681" t="s">
        <v>24</v>
      </c>
      <c r="O681" t="s">
        <v>25</v>
      </c>
    </row>
    <row r="682" spans="1:15" x14ac:dyDescent="0.25">
      <c r="A682" t="s">
        <v>1705</v>
      </c>
      <c r="B682" t="s">
        <v>43</v>
      </c>
      <c r="C682">
        <v>2024</v>
      </c>
      <c r="D682" t="s">
        <v>108</v>
      </c>
      <c r="E682" t="s">
        <v>54</v>
      </c>
      <c r="F682" t="s">
        <v>145</v>
      </c>
      <c r="G682">
        <v>370</v>
      </c>
      <c r="H682" t="s">
        <v>29</v>
      </c>
      <c r="I682" t="s">
        <v>80</v>
      </c>
      <c r="J682" t="s">
        <v>22</v>
      </c>
      <c r="K682" s="4">
        <v>430.56</v>
      </c>
      <c r="L682" t="s">
        <v>1706</v>
      </c>
      <c r="M682" s="1">
        <v>46537</v>
      </c>
      <c r="N682" t="s">
        <v>75</v>
      </c>
      <c r="O682" t="s">
        <v>33</v>
      </c>
    </row>
    <row r="683" spans="1:15" x14ac:dyDescent="0.25">
      <c r="A683" t="s">
        <v>1707</v>
      </c>
      <c r="B683" t="s">
        <v>77</v>
      </c>
      <c r="C683">
        <v>1990</v>
      </c>
      <c r="D683" t="s">
        <v>36</v>
      </c>
      <c r="E683" t="s">
        <v>99</v>
      </c>
      <c r="F683" t="s">
        <v>67</v>
      </c>
      <c r="G683">
        <v>800</v>
      </c>
      <c r="H683" t="s">
        <v>38</v>
      </c>
      <c r="I683" t="s">
        <v>151</v>
      </c>
      <c r="J683" t="s">
        <v>146</v>
      </c>
      <c r="K683" s="4">
        <v>8.2899999999999991</v>
      </c>
      <c r="L683" t="s">
        <v>1708</v>
      </c>
      <c r="M683" s="1">
        <v>46393</v>
      </c>
      <c r="N683" t="s">
        <v>75</v>
      </c>
      <c r="O683" t="s">
        <v>25</v>
      </c>
    </row>
    <row r="684" spans="1:15" x14ac:dyDescent="0.25">
      <c r="A684" t="s">
        <v>1709</v>
      </c>
      <c r="B684" t="s">
        <v>16</v>
      </c>
      <c r="C684">
        <v>2017</v>
      </c>
      <c r="D684" t="s">
        <v>27</v>
      </c>
      <c r="E684" t="s">
        <v>54</v>
      </c>
      <c r="F684" t="s">
        <v>1710</v>
      </c>
      <c r="G684">
        <v>970</v>
      </c>
      <c r="H684" t="s">
        <v>29</v>
      </c>
      <c r="I684" t="s">
        <v>73</v>
      </c>
      <c r="J684" t="s">
        <v>101</v>
      </c>
      <c r="K684" s="4">
        <v>61.99</v>
      </c>
      <c r="L684" t="s">
        <v>1711</v>
      </c>
      <c r="M684" s="1">
        <v>45953</v>
      </c>
      <c r="N684" t="s">
        <v>75</v>
      </c>
      <c r="O684" t="s">
        <v>51</v>
      </c>
    </row>
    <row r="685" spans="1:15" x14ac:dyDescent="0.25">
      <c r="A685" t="s">
        <v>1712</v>
      </c>
      <c r="B685" t="s">
        <v>138</v>
      </c>
      <c r="C685">
        <v>2023</v>
      </c>
      <c r="D685" t="s">
        <v>27</v>
      </c>
      <c r="E685" t="s">
        <v>72</v>
      </c>
      <c r="F685" t="s">
        <v>67</v>
      </c>
      <c r="G685">
        <v>460</v>
      </c>
      <c r="H685" t="s">
        <v>20</v>
      </c>
      <c r="I685" t="s">
        <v>21</v>
      </c>
      <c r="J685" t="s">
        <v>92</v>
      </c>
      <c r="K685" s="4">
        <v>41.49</v>
      </c>
      <c r="L685" t="s">
        <v>1713</v>
      </c>
      <c r="M685" s="1">
        <v>45923</v>
      </c>
      <c r="N685" t="s">
        <v>24</v>
      </c>
      <c r="O685" t="s">
        <v>25</v>
      </c>
    </row>
    <row r="686" spans="1:15" x14ac:dyDescent="0.25">
      <c r="A686" t="s">
        <v>1714</v>
      </c>
      <c r="B686" t="s">
        <v>53</v>
      </c>
      <c r="C686">
        <v>2017</v>
      </c>
      <c r="D686" t="s">
        <v>17</v>
      </c>
      <c r="E686" t="s">
        <v>119</v>
      </c>
      <c r="F686" t="s">
        <v>1715</v>
      </c>
      <c r="G686">
        <v>690</v>
      </c>
      <c r="H686" t="s">
        <v>62</v>
      </c>
      <c r="I686" t="s">
        <v>151</v>
      </c>
      <c r="J686" t="s">
        <v>125</v>
      </c>
      <c r="K686" s="4">
        <v>323.94</v>
      </c>
      <c r="L686" t="s">
        <v>1716</v>
      </c>
      <c r="M686" s="1">
        <v>46221</v>
      </c>
      <c r="N686" t="s">
        <v>41</v>
      </c>
      <c r="O686" t="s">
        <v>33</v>
      </c>
    </row>
    <row r="687" spans="1:15" x14ac:dyDescent="0.25">
      <c r="A687" t="s">
        <v>1717</v>
      </c>
      <c r="B687" t="s">
        <v>70</v>
      </c>
      <c r="C687">
        <v>2005</v>
      </c>
      <c r="D687" t="s">
        <v>36</v>
      </c>
      <c r="E687" t="s">
        <v>18</v>
      </c>
      <c r="F687" t="s">
        <v>162</v>
      </c>
      <c r="G687">
        <v>690</v>
      </c>
      <c r="H687" t="s">
        <v>47</v>
      </c>
      <c r="I687" t="s">
        <v>80</v>
      </c>
      <c r="J687" t="s">
        <v>22</v>
      </c>
      <c r="K687" s="4">
        <v>337.6</v>
      </c>
      <c r="L687" t="s">
        <v>1718</v>
      </c>
      <c r="M687" s="1">
        <v>46620</v>
      </c>
      <c r="N687" t="s">
        <v>41</v>
      </c>
      <c r="O687" t="s">
        <v>51</v>
      </c>
    </row>
    <row r="688" spans="1:15" x14ac:dyDescent="0.25">
      <c r="A688" t="s">
        <v>1719</v>
      </c>
      <c r="B688" t="s">
        <v>98</v>
      </c>
      <c r="C688">
        <v>2012</v>
      </c>
      <c r="D688" t="s">
        <v>44</v>
      </c>
      <c r="E688" t="s">
        <v>72</v>
      </c>
      <c r="F688" t="s">
        <v>162</v>
      </c>
      <c r="G688">
        <v>320</v>
      </c>
      <c r="H688" t="s">
        <v>47</v>
      </c>
      <c r="I688" t="s">
        <v>39</v>
      </c>
      <c r="J688" t="s">
        <v>22</v>
      </c>
      <c r="K688" s="4">
        <v>340.86</v>
      </c>
      <c r="L688" t="s">
        <v>1720</v>
      </c>
      <c r="M688" s="1">
        <v>45945</v>
      </c>
      <c r="N688" t="s">
        <v>24</v>
      </c>
      <c r="O688" t="s">
        <v>33</v>
      </c>
    </row>
    <row r="689" spans="1:15" x14ac:dyDescent="0.25">
      <c r="A689" t="s">
        <v>1721</v>
      </c>
      <c r="B689" t="s">
        <v>53</v>
      </c>
      <c r="C689">
        <v>2005</v>
      </c>
      <c r="D689" t="s">
        <v>36</v>
      </c>
      <c r="E689" t="s">
        <v>60</v>
      </c>
      <c r="F689" t="s">
        <v>28</v>
      </c>
      <c r="G689">
        <v>830</v>
      </c>
      <c r="H689" t="s">
        <v>38</v>
      </c>
      <c r="I689" t="s">
        <v>151</v>
      </c>
      <c r="J689" t="s">
        <v>49</v>
      </c>
      <c r="K689" s="4">
        <v>419.95</v>
      </c>
      <c r="L689" t="s">
        <v>1722</v>
      </c>
      <c r="M689" s="1">
        <v>46133</v>
      </c>
      <c r="N689" t="s">
        <v>41</v>
      </c>
      <c r="O689" t="s">
        <v>33</v>
      </c>
    </row>
    <row r="690" spans="1:15" x14ac:dyDescent="0.25">
      <c r="A690" t="s">
        <v>1723</v>
      </c>
      <c r="B690" t="s">
        <v>35</v>
      </c>
      <c r="C690">
        <v>1994</v>
      </c>
      <c r="D690" t="s">
        <v>36</v>
      </c>
      <c r="E690" t="s">
        <v>119</v>
      </c>
      <c r="F690" t="s">
        <v>67</v>
      </c>
      <c r="G690">
        <v>280</v>
      </c>
      <c r="H690" t="s">
        <v>62</v>
      </c>
      <c r="I690" t="s">
        <v>91</v>
      </c>
      <c r="J690" t="s">
        <v>146</v>
      </c>
      <c r="K690" s="4">
        <v>270.62</v>
      </c>
      <c r="L690" t="s">
        <v>1724</v>
      </c>
      <c r="M690" s="1">
        <v>46063</v>
      </c>
      <c r="N690" t="s">
        <v>75</v>
      </c>
      <c r="O690" t="s">
        <v>33</v>
      </c>
    </row>
    <row r="691" spans="1:15" x14ac:dyDescent="0.25">
      <c r="A691" t="s">
        <v>1725</v>
      </c>
      <c r="B691" t="s">
        <v>98</v>
      </c>
      <c r="C691">
        <v>2019</v>
      </c>
      <c r="D691" t="s">
        <v>66</v>
      </c>
      <c r="E691" t="s">
        <v>99</v>
      </c>
      <c r="F691" t="s">
        <v>600</v>
      </c>
      <c r="G691">
        <v>210</v>
      </c>
      <c r="H691" t="s">
        <v>62</v>
      </c>
      <c r="I691" t="s">
        <v>30</v>
      </c>
      <c r="J691" t="s">
        <v>31</v>
      </c>
      <c r="K691" s="4">
        <v>77.88</v>
      </c>
      <c r="L691" t="s">
        <v>1726</v>
      </c>
      <c r="M691" s="1">
        <v>46804</v>
      </c>
      <c r="N691" t="s">
        <v>41</v>
      </c>
      <c r="O691" t="s">
        <v>51</v>
      </c>
    </row>
    <row r="692" spans="1:15" x14ac:dyDescent="0.25">
      <c r="A692" t="s">
        <v>1727</v>
      </c>
      <c r="B692" t="s">
        <v>16</v>
      </c>
      <c r="C692">
        <v>1997</v>
      </c>
      <c r="D692" t="s">
        <v>83</v>
      </c>
      <c r="E692" t="s">
        <v>104</v>
      </c>
      <c r="F692" t="s">
        <v>145</v>
      </c>
      <c r="G692">
        <v>250</v>
      </c>
      <c r="H692" t="s">
        <v>62</v>
      </c>
      <c r="I692" t="s">
        <v>48</v>
      </c>
      <c r="J692" t="s">
        <v>63</v>
      </c>
      <c r="K692" s="4">
        <v>406.93</v>
      </c>
      <c r="L692" t="s">
        <v>1728</v>
      </c>
      <c r="M692" s="1">
        <v>46730</v>
      </c>
      <c r="N692" t="s">
        <v>24</v>
      </c>
      <c r="O692" t="s">
        <v>25</v>
      </c>
    </row>
    <row r="693" spans="1:15" x14ac:dyDescent="0.25">
      <c r="A693" t="s">
        <v>1729</v>
      </c>
      <c r="B693" t="s">
        <v>98</v>
      </c>
      <c r="C693">
        <v>2003</v>
      </c>
      <c r="D693" t="s">
        <v>83</v>
      </c>
      <c r="E693" t="s">
        <v>18</v>
      </c>
      <c r="F693" t="s">
        <v>1730</v>
      </c>
      <c r="G693">
        <v>650</v>
      </c>
      <c r="H693" t="s">
        <v>62</v>
      </c>
      <c r="I693" t="s">
        <v>151</v>
      </c>
      <c r="J693" t="s">
        <v>101</v>
      </c>
      <c r="K693" s="4">
        <v>50.94</v>
      </c>
      <c r="L693" t="s">
        <v>1731</v>
      </c>
      <c r="M693" s="1">
        <v>46745</v>
      </c>
      <c r="N693" t="s">
        <v>75</v>
      </c>
      <c r="O693" t="s">
        <v>51</v>
      </c>
    </row>
    <row r="694" spans="1:15" x14ac:dyDescent="0.25">
      <c r="A694" t="s">
        <v>1732</v>
      </c>
      <c r="B694" t="s">
        <v>98</v>
      </c>
      <c r="C694">
        <v>1993</v>
      </c>
      <c r="D694" t="s">
        <v>71</v>
      </c>
      <c r="E694" t="s">
        <v>104</v>
      </c>
      <c r="F694" t="s">
        <v>1026</v>
      </c>
      <c r="G694">
        <v>740</v>
      </c>
      <c r="H694" t="s">
        <v>20</v>
      </c>
      <c r="I694" t="s">
        <v>30</v>
      </c>
      <c r="J694" t="s">
        <v>63</v>
      </c>
      <c r="K694" s="4">
        <v>212.23</v>
      </c>
      <c r="L694" t="s">
        <v>1733</v>
      </c>
      <c r="M694" s="1">
        <v>46823</v>
      </c>
      <c r="N694" t="s">
        <v>41</v>
      </c>
      <c r="O694" t="s">
        <v>33</v>
      </c>
    </row>
    <row r="695" spans="1:15" x14ac:dyDescent="0.25">
      <c r="A695" t="s">
        <v>1734</v>
      </c>
      <c r="B695" t="s">
        <v>134</v>
      </c>
      <c r="C695">
        <v>2015</v>
      </c>
      <c r="D695" t="s">
        <v>36</v>
      </c>
      <c r="E695" t="s">
        <v>119</v>
      </c>
      <c r="F695" t="s">
        <v>1456</v>
      </c>
      <c r="G695">
        <v>920</v>
      </c>
      <c r="H695" t="s">
        <v>47</v>
      </c>
      <c r="I695" t="s">
        <v>39</v>
      </c>
      <c r="J695" t="s">
        <v>121</v>
      </c>
      <c r="K695" s="4">
        <v>394.57</v>
      </c>
      <c r="L695" t="s">
        <v>1735</v>
      </c>
      <c r="M695" s="1">
        <v>46433</v>
      </c>
      <c r="N695" t="s">
        <v>41</v>
      </c>
      <c r="O695" t="s">
        <v>51</v>
      </c>
    </row>
    <row r="696" spans="1:15" x14ac:dyDescent="0.25">
      <c r="A696" t="s">
        <v>1723</v>
      </c>
      <c r="B696" t="s">
        <v>53</v>
      </c>
      <c r="C696">
        <v>2019</v>
      </c>
      <c r="D696" t="s">
        <v>44</v>
      </c>
      <c r="E696" t="s">
        <v>45</v>
      </c>
      <c r="F696" t="s">
        <v>241</v>
      </c>
      <c r="G696">
        <v>170</v>
      </c>
      <c r="H696" t="s">
        <v>62</v>
      </c>
      <c r="I696" t="s">
        <v>151</v>
      </c>
      <c r="J696" t="s">
        <v>31</v>
      </c>
      <c r="K696" s="4">
        <v>188.17</v>
      </c>
      <c r="L696" t="s">
        <v>1736</v>
      </c>
      <c r="M696" s="1">
        <v>46813</v>
      </c>
      <c r="N696" t="s">
        <v>41</v>
      </c>
      <c r="O696" t="s">
        <v>51</v>
      </c>
    </row>
    <row r="697" spans="1:15" x14ac:dyDescent="0.25">
      <c r="A697" t="s">
        <v>1737</v>
      </c>
      <c r="B697" t="s">
        <v>77</v>
      </c>
      <c r="C697">
        <v>2024</v>
      </c>
      <c r="D697" t="s">
        <v>27</v>
      </c>
      <c r="E697" t="s">
        <v>18</v>
      </c>
      <c r="F697" t="s">
        <v>162</v>
      </c>
      <c r="G697">
        <v>950</v>
      </c>
      <c r="H697" t="s">
        <v>62</v>
      </c>
      <c r="I697" t="s">
        <v>151</v>
      </c>
      <c r="J697" t="s">
        <v>121</v>
      </c>
      <c r="K697" s="4">
        <v>139.57</v>
      </c>
      <c r="L697" t="s">
        <v>1738</v>
      </c>
      <c r="M697" s="1">
        <v>45917</v>
      </c>
      <c r="N697" t="s">
        <v>75</v>
      </c>
      <c r="O697" t="s">
        <v>25</v>
      </c>
    </row>
    <row r="698" spans="1:15" x14ac:dyDescent="0.25">
      <c r="A698" t="s">
        <v>1739</v>
      </c>
      <c r="B698" t="s">
        <v>35</v>
      </c>
      <c r="C698">
        <v>2018</v>
      </c>
      <c r="D698" t="s">
        <v>66</v>
      </c>
      <c r="E698" t="s">
        <v>78</v>
      </c>
      <c r="F698" t="s">
        <v>388</v>
      </c>
      <c r="G698">
        <v>720</v>
      </c>
      <c r="H698" t="s">
        <v>29</v>
      </c>
      <c r="I698" t="s">
        <v>186</v>
      </c>
      <c r="J698" t="s">
        <v>63</v>
      </c>
      <c r="K698" s="4">
        <v>455.72</v>
      </c>
      <c r="L698" t="s">
        <v>1740</v>
      </c>
      <c r="M698" s="1">
        <v>46839</v>
      </c>
      <c r="N698" t="s">
        <v>41</v>
      </c>
      <c r="O698" t="s">
        <v>33</v>
      </c>
    </row>
    <row r="699" spans="1:15" x14ac:dyDescent="0.25">
      <c r="A699" t="s">
        <v>1741</v>
      </c>
      <c r="B699" t="s">
        <v>59</v>
      </c>
      <c r="C699">
        <v>2000</v>
      </c>
      <c r="D699" t="s">
        <v>71</v>
      </c>
      <c r="E699" t="s">
        <v>54</v>
      </c>
      <c r="F699" t="s">
        <v>761</v>
      </c>
      <c r="G699">
        <v>140</v>
      </c>
      <c r="H699" t="s">
        <v>62</v>
      </c>
      <c r="I699" t="s">
        <v>186</v>
      </c>
      <c r="J699" t="s">
        <v>146</v>
      </c>
      <c r="K699" s="4">
        <v>478.65</v>
      </c>
      <c r="L699" t="s">
        <v>1742</v>
      </c>
      <c r="M699" s="1">
        <v>46685</v>
      </c>
      <c r="N699" t="s">
        <v>41</v>
      </c>
      <c r="O699" t="s">
        <v>25</v>
      </c>
    </row>
    <row r="700" spans="1:15" x14ac:dyDescent="0.25">
      <c r="A700" t="s">
        <v>1743</v>
      </c>
      <c r="B700" t="s">
        <v>70</v>
      </c>
      <c r="C700">
        <v>2000</v>
      </c>
      <c r="D700" t="s">
        <v>89</v>
      </c>
      <c r="E700" t="s">
        <v>99</v>
      </c>
      <c r="F700" t="s">
        <v>1744</v>
      </c>
      <c r="G700">
        <v>850</v>
      </c>
      <c r="H700" t="s">
        <v>29</v>
      </c>
      <c r="I700" t="s">
        <v>86</v>
      </c>
      <c r="J700" t="s">
        <v>22</v>
      </c>
      <c r="K700" s="4">
        <v>357.64</v>
      </c>
      <c r="L700" t="s">
        <v>1745</v>
      </c>
      <c r="M700" s="1">
        <v>46953</v>
      </c>
      <c r="N700" t="s">
        <v>41</v>
      </c>
      <c r="O700" t="s">
        <v>25</v>
      </c>
    </row>
    <row r="701" spans="1:15" x14ac:dyDescent="0.25">
      <c r="A701" t="s">
        <v>1746</v>
      </c>
      <c r="B701" t="s">
        <v>77</v>
      </c>
      <c r="C701">
        <v>1995</v>
      </c>
      <c r="D701" t="s">
        <v>44</v>
      </c>
      <c r="E701" t="s">
        <v>54</v>
      </c>
      <c r="F701" t="s">
        <v>1493</v>
      </c>
      <c r="G701">
        <v>660</v>
      </c>
      <c r="H701" t="s">
        <v>85</v>
      </c>
      <c r="I701" t="s">
        <v>30</v>
      </c>
      <c r="J701" t="s">
        <v>63</v>
      </c>
      <c r="K701" s="4">
        <v>178.91</v>
      </c>
      <c r="L701" t="s">
        <v>1747</v>
      </c>
      <c r="M701" s="1">
        <v>46067</v>
      </c>
      <c r="N701" t="s">
        <v>75</v>
      </c>
      <c r="O701" t="s">
        <v>33</v>
      </c>
    </row>
    <row r="702" spans="1:15" x14ac:dyDescent="0.25">
      <c r="A702" t="s">
        <v>1748</v>
      </c>
      <c r="B702" t="s">
        <v>70</v>
      </c>
      <c r="C702">
        <v>2017</v>
      </c>
      <c r="D702" t="s">
        <v>108</v>
      </c>
      <c r="E702" t="s">
        <v>78</v>
      </c>
      <c r="F702" t="s">
        <v>1749</v>
      </c>
      <c r="G702">
        <v>580</v>
      </c>
      <c r="H702" t="s">
        <v>29</v>
      </c>
      <c r="I702" t="s">
        <v>151</v>
      </c>
      <c r="J702" t="s">
        <v>125</v>
      </c>
      <c r="K702" s="4">
        <v>58.09</v>
      </c>
      <c r="L702" t="s">
        <v>1750</v>
      </c>
      <c r="M702" s="1">
        <v>46631</v>
      </c>
      <c r="N702" t="s">
        <v>75</v>
      </c>
      <c r="O702" t="s">
        <v>33</v>
      </c>
    </row>
    <row r="703" spans="1:15" x14ac:dyDescent="0.25">
      <c r="A703" t="s">
        <v>1751</v>
      </c>
      <c r="B703" t="s">
        <v>134</v>
      </c>
      <c r="C703">
        <v>2021</v>
      </c>
      <c r="D703" t="s">
        <v>89</v>
      </c>
      <c r="E703" t="s">
        <v>54</v>
      </c>
      <c r="F703" t="s">
        <v>145</v>
      </c>
      <c r="G703">
        <v>760</v>
      </c>
      <c r="H703" t="s">
        <v>29</v>
      </c>
      <c r="I703" t="s">
        <v>186</v>
      </c>
      <c r="J703" t="s">
        <v>125</v>
      </c>
      <c r="K703" s="4">
        <v>261.12</v>
      </c>
      <c r="L703" t="s">
        <v>1752</v>
      </c>
      <c r="M703" s="1">
        <v>46932</v>
      </c>
      <c r="N703" t="s">
        <v>41</v>
      </c>
      <c r="O703" t="s">
        <v>33</v>
      </c>
    </row>
    <row r="704" spans="1:15" x14ac:dyDescent="0.25">
      <c r="A704" t="s">
        <v>1753</v>
      </c>
      <c r="B704" t="s">
        <v>98</v>
      </c>
      <c r="C704">
        <v>1991</v>
      </c>
      <c r="D704" t="s">
        <v>66</v>
      </c>
      <c r="E704" t="s">
        <v>104</v>
      </c>
      <c r="F704" t="s">
        <v>185</v>
      </c>
      <c r="G704">
        <v>290</v>
      </c>
      <c r="H704" t="s">
        <v>85</v>
      </c>
      <c r="I704" t="s">
        <v>86</v>
      </c>
      <c r="J704" t="s">
        <v>146</v>
      </c>
      <c r="K704" s="4">
        <v>463.63</v>
      </c>
      <c r="L704" t="s">
        <v>1754</v>
      </c>
      <c r="M704" s="1">
        <v>46932</v>
      </c>
      <c r="N704" t="s">
        <v>41</v>
      </c>
      <c r="O704" t="s">
        <v>51</v>
      </c>
    </row>
    <row r="705" spans="1:15" x14ac:dyDescent="0.25">
      <c r="A705" t="s">
        <v>1755</v>
      </c>
      <c r="B705" t="s">
        <v>16</v>
      </c>
      <c r="C705">
        <v>2024</v>
      </c>
      <c r="D705" t="s">
        <v>44</v>
      </c>
      <c r="E705" t="s">
        <v>45</v>
      </c>
      <c r="F705" t="s">
        <v>825</v>
      </c>
      <c r="G705">
        <v>560</v>
      </c>
      <c r="H705" t="s">
        <v>56</v>
      </c>
      <c r="I705" t="s">
        <v>30</v>
      </c>
      <c r="J705" t="s">
        <v>101</v>
      </c>
      <c r="K705" s="4">
        <v>10.44</v>
      </c>
      <c r="L705" t="s">
        <v>1756</v>
      </c>
      <c r="M705" s="1">
        <v>46128</v>
      </c>
      <c r="N705" t="s">
        <v>24</v>
      </c>
      <c r="O705" t="s">
        <v>25</v>
      </c>
    </row>
    <row r="706" spans="1:15" x14ac:dyDescent="0.25">
      <c r="A706" t="s">
        <v>1757</v>
      </c>
      <c r="B706" t="s">
        <v>98</v>
      </c>
      <c r="C706">
        <v>2006</v>
      </c>
      <c r="D706" t="s">
        <v>66</v>
      </c>
      <c r="E706" t="s">
        <v>78</v>
      </c>
      <c r="F706" t="s">
        <v>145</v>
      </c>
      <c r="G706">
        <v>470</v>
      </c>
      <c r="H706" t="s">
        <v>47</v>
      </c>
      <c r="I706" t="s">
        <v>21</v>
      </c>
      <c r="J706" t="s">
        <v>110</v>
      </c>
      <c r="K706" s="4">
        <v>254.88</v>
      </c>
      <c r="L706" t="s">
        <v>1758</v>
      </c>
      <c r="M706" s="1">
        <v>45912</v>
      </c>
      <c r="N706" t="s">
        <v>24</v>
      </c>
      <c r="O706" t="s">
        <v>25</v>
      </c>
    </row>
    <row r="707" spans="1:15" x14ac:dyDescent="0.25">
      <c r="A707" t="s">
        <v>1759</v>
      </c>
      <c r="B707" t="s">
        <v>59</v>
      </c>
      <c r="C707">
        <v>2017</v>
      </c>
      <c r="D707" t="s">
        <v>95</v>
      </c>
      <c r="E707" t="s">
        <v>72</v>
      </c>
      <c r="F707" t="s">
        <v>139</v>
      </c>
      <c r="G707">
        <v>10</v>
      </c>
      <c r="H707" t="s">
        <v>38</v>
      </c>
      <c r="I707" t="s">
        <v>73</v>
      </c>
      <c r="J707" t="s">
        <v>146</v>
      </c>
      <c r="K707" s="4">
        <v>494.48</v>
      </c>
      <c r="L707" t="s">
        <v>1760</v>
      </c>
      <c r="M707" s="1">
        <v>46432</v>
      </c>
      <c r="N707" t="s">
        <v>75</v>
      </c>
      <c r="O707" t="s">
        <v>33</v>
      </c>
    </row>
    <row r="708" spans="1:15" x14ac:dyDescent="0.25">
      <c r="A708" t="s">
        <v>1761</v>
      </c>
      <c r="B708" t="s">
        <v>53</v>
      </c>
      <c r="C708">
        <v>2009</v>
      </c>
      <c r="D708" t="s">
        <v>83</v>
      </c>
      <c r="E708" t="s">
        <v>54</v>
      </c>
      <c r="F708" t="s">
        <v>252</v>
      </c>
      <c r="G708">
        <v>490</v>
      </c>
      <c r="H708" t="s">
        <v>29</v>
      </c>
      <c r="I708" t="s">
        <v>73</v>
      </c>
      <c r="J708" t="s">
        <v>22</v>
      </c>
      <c r="K708" s="4">
        <v>253.17</v>
      </c>
      <c r="L708" t="s">
        <v>1762</v>
      </c>
      <c r="M708" s="1">
        <v>46923</v>
      </c>
      <c r="N708" t="s">
        <v>41</v>
      </c>
      <c r="O708" t="s">
        <v>25</v>
      </c>
    </row>
    <row r="709" spans="1:15" x14ac:dyDescent="0.25">
      <c r="A709" t="s">
        <v>1763</v>
      </c>
      <c r="B709" t="s">
        <v>53</v>
      </c>
      <c r="C709">
        <v>1994</v>
      </c>
      <c r="D709" t="s">
        <v>108</v>
      </c>
      <c r="E709" t="s">
        <v>119</v>
      </c>
      <c r="F709" t="s">
        <v>388</v>
      </c>
      <c r="G709">
        <v>800</v>
      </c>
      <c r="H709" t="s">
        <v>62</v>
      </c>
      <c r="I709" t="s">
        <v>30</v>
      </c>
      <c r="J709" t="s">
        <v>110</v>
      </c>
      <c r="K709" s="4">
        <v>493.75</v>
      </c>
      <c r="L709" t="s">
        <v>1764</v>
      </c>
      <c r="M709" s="1">
        <v>46137</v>
      </c>
      <c r="N709" t="s">
        <v>24</v>
      </c>
      <c r="O709" t="s">
        <v>25</v>
      </c>
    </row>
    <row r="710" spans="1:15" x14ac:dyDescent="0.25">
      <c r="A710" t="s">
        <v>1765</v>
      </c>
      <c r="B710" t="s">
        <v>138</v>
      </c>
      <c r="C710">
        <v>1995</v>
      </c>
      <c r="D710" t="s">
        <v>95</v>
      </c>
      <c r="E710" t="s">
        <v>18</v>
      </c>
      <c r="F710" t="s">
        <v>642</v>
      </c>
      <c r="G710">
        <v>880</v>
      </c>
      <c r="H710" t="s">
        <v>38</v>
      </c>
      <c r="I710" t="s">
        <v>21</v>
      </c>
      <c r="J710" t="s">
        <v>121</v>
      </c>
      <c r="K710" s="4">
        <v>232.48</v>
      </c>
      <c r="L710" t="s">
        <v>1766</v>
      </c>
      <c r="M710" s="1">
        <v>46749</v>
      </c>
      <c r="N710" t="s">
        <v>75</v>
      </c>
      <c r="O710" t="s">
        <v>33</v>
      </c>
    </row>
    <row r="711" spans="1:15" x14ac:dyDescent="0.25">
      <c r="A711" t="s">
        <v>1767</v>
      </c>
      <c r="B711" t="s">
        <v>35</v>
      </c>
      <c r="C711">
        <v>1992</v>
      </c>
      <c r="D711" t="s">
        <v>108</v>
      </c>
      <c r="E711" t="s">
        <v>104</v>
      </c>
      <c r="F711" t="s">
        <v>28</v>
      </c>
      <c r="G711">
        <v>230</v>
      </c>
      <c r="H711" t="s">
        <v>38</v>
      </c>
      <c r="I711" t="s">
        <v>30</v>
      </c>
      <c r="J711" t="s">
        <v>101</v>
      </c>
      <c r="K711" s="4">
        <v>280.08999999999997</v>
      </c>
      <c r="L711" t="s">
        <v>1768</v>
      </c>
      <c r="M711" s="1">
        <v>46326</v>
      </c>
      <c r="N711" t="s">
        <v>24</v>
      </c>
      <c r="O711" t="s">
        <v>25</v>
      </c>
    </row>
    <row r="712" spans="1:15" x14ac:dyDescent="0.25">
      <c r="A712" t="s">
        <v>1769</v>
      </c>
      <c r="B712" t="s">
        <v>16</v>
      </c>
      <c r="C712">
        <v>2013</v>
      </c>
      <c r="D712" t="s">
        <v>27</v>
      </c>
      <c r="E712" t="s">
        <v>78</v>
      </c>
      <c r="F712" t="s">
        <v>1770</v>
      </c>
      <c r="G712">
        <v>190</v>
      </c>
      <c r="H712" t="s">
        <v>56</v>
      </c>
      <c r="I712" t="s">
        <v>80</v>
      </c>
      <c r="J712" t="s">
        <v>146</v>
      </c>
      <c r="K712" s="4">
        <v>256.13</v>
      </c>
      <c r="L712" t="s">
        <v>1771</v>
      </c>
      <c r="M712" s="1">
        <v>46243</v>
      </c>
      <c r="N712" t="s">
        <v>24</v>
      </c>
      <c r="O712" t="s">
        <v>51</v>
      </c>
    </row>
    <row r="713" spans="1:15" x14ac:dyDescent="0.25">
      <c r="A713" t="s">
        <v>1772</v>
      </c>
      <c r="B713" t="s">
        <v>77</v>
      </c>
      <c r="C713">
        <v>2008</v>
      </c>
      <c r="D713" t="s">
        <v>44</v>
      </c>
      <c r="E713" t="s">
        <v>104</v>
      </c>
      <c r="F713" t="s">
        <v>139</v>
      </c>
      <c r="G713">
        <v>260</v>
      </c>
      <c r="H713" t="s">
        <v>56</v>
      </c>
      <c r="I713" t="s">
        <v>21</v>
      </c>
      <c r="J713" t="s">
        <v>49</v>
      </c>
      <c r="K713" s="4">
        <v>112.81</v>
      </c>
      <c r="L713" t="s">
        <v>1773</v>
      </c>
      <c r="M713" s="1">
        <v>46848</v>
      </c>
      <c r="N713" t="s">
        <v>75</v>
      </c>
      <c r="O713" t="s">
        <v>33</v>
      </c>
    </row>
    <row r="714" spans="1:15" x14ac:dyDescent="0.25">
      <c r="A714" t="s">
        <v>1774</v>
      </c>
      <c r="B714" t="s">
        <v>98</v>
      </c>
      <c r="C714">
        <v>1996</v>
      </c>
      <c r="D714" t="s">
        <v>89</v>
      </c>
      <c r="E714" t="s">
        <v>104</v>
      </c>
      <c r="F714" t="s">
        <v>244</v>
      </c>
      <c r="G714">
        <v>510</v>
      </c>
      <c r="H714" t="s">
        <v>62</v>
      </c>
      <c r="I714" t="s">
        <v>48</v>
      </c>
      <c r="J714" t="s">
        <v>146</v>
      </c>
      <c r="K714" s="4">
        <v>105.08</v>
      </c>
      <c r="L714" t="s">
        <v>1775</v>
      </c>
      <c r="M714" s="1">
        <v>46899</v>
      </c>
      <c r="N714" t="s">
        <v>41</v>
      </c>
      <c r="O714" t="s">
        <v>33</v>
      </c>
    </row>
    <row r="715" spans="1:15" x14ac:dyDescent="0.25">
      <c r="A715" t="s">
        <v>1776</v>
      </c>
      <c r="B715" t="s">
        <v>35</v>
      </c>
      <c r="C715">
        <v>1997</v>
      </c>
      <c r="D715" t="s">
        <v>44</v>
      </c>
      <c r="E715" t="s">
        <v>116</v>
      </c>
      <c r="F715" t="s">
        <v>830</v>
      </c>
      <c r="G715">
        <v>980</v>
      </c>
      <c r="H715" t="s">
        <v>62</v>
      </c>
      <c r="I715" t="s">
        <v>80</v>
      </c>
      <c r="J715" t="s">
        <v>125</v>
      </c>
      <c r="K715" s="4">
        <v>424.19</v>
      </c>
      <c r="L715" t="s">
        <v>1777</v>
      </c>
      <c r="M715" s="1">
        <v>46641</v>
      </c>
      <c r="N715" t="s">
        <v>24</v>
      </c>
      <c r="O715" t="s">
        <v>51</v>
      </c>
    </row>
    <row r="716" spans="1:15" x14ac:dyDescent="0.25">
      <c r="A716" t="s">
        <v>1778</v>
      </c>
      <c r="B716" t="s">
        <v>134</v>
      </c>
      <c r="C716">
        <v>2012</v>
      </c>
      <c r="D716" t="s">
        <v>44</v>
      </c>
      <c r="E716" t="s">
        <v>18</v>
      </c>
      <c r="F716" t="s">
        <v>1779</v>
      </c>
      <c r="G716">
        <v>270</v>
      </c>
      <c r="H716" t="s">
        <v>62</v>
      </c>
      <c r="I716" t="s">
        <v>80</v>
      </c>
      <c r="J716" t="s">
        <v>110</v>
      </c>
      <c r="K716" s="4">
        <v>405</v>
      </c>
      <c r="L716" t="s">
        <v>1780</v>
      </c>
      <c r="M716" s="1">
        <v>46451</v>
      </c>
      <c r="N716" t="s">
        <v>41</v>
      </c>
      <c r="O716" t="s">
        <v>25</v>
      </c>
    </row>
    <row r="717" spans="1:15" x14ac:dyDescent="0.25">
      <c r="A717" t="s">
        <v>1781</v>
      </c>
      <c r="B717" t="s">
        <v>77</v>
      </c>
      <c r="C717">
        <v>2003</v>
      </c>
      <c r="D717" t="s">
        <v>95</v>
      </c>
      <c r="E717" t="s">
        <v>104</v>
      </c>
      <c r="F717" t="s">
        <v>1574</v>
      </c>
      <c r="G717">
        <v>940</v>
      </c>
      <c r="H717" t="s">
        <v>85</v>
      </c>
      <c r="I717" t="s">
        <v>151</v>
      </c>
      <c r="J717" t="s">
        <v>146</v>
      </c>
      <c r="K717" s="4">
        <v>153.38999999999999</v>
      </c>
      <c r="L717" t="s">
        <v>1782</v>
      </c>
      <c r="M717" s="1">
        <v>46382</v>
      </c>
      <c r="N717" t="s">
        <v>75</v>
      </c>
      <c r="O717" t="s">
        <v>51</v>
      </c>
    </row>
    <row r="718" spans="1:15" x14ac:dyDescent="0.25">
      <c r="A718" t="s">
        <v>1783</v>
      </c>
      <c r="B718" t="s">
        <v>70</v>
      </c>
      <c r="C718">
        <v>2013</v>
      </c>
      <c r="D718" t="s">
        <v>89</v>
      </c>
      <c r="E718" t="s">
        <v>54</v>
      </c>
      <c r="F718" t="s">
        <v>1784</v>
      </c>
      <c r="G718">
        <v>600</v>
      </c>
      <c r="H718" t="s">
        <v>85</v>
      </c>
      <c r="I718" t="s">
        <v>151</v>
      </c>
      <c r="J718" t="s">
        <v>121</v>
      </c>
      <c r="K718" s="4">
        <v>69</v>
      </c>
      <c r="L718" t="s">
        <v>1785</v>
      </c>
      <c r="M718" s="1">
        <v>46062</v>
      </c>
      <c r="N718" t="s">
        <v>75</v>
      </c>
      <c r="O718" t="s">
        <v>33</v>
      </c>
    </row>
    <row r="719" spans="1:15" x14ac:dyDescent="0.25">
      <c r="A719" t="s">
        <v>1786</v>
      </c>
      <c r="B719" t="s">
        <v>70</v>
      </c>
      <c r="C719">
        <v>2003</v>
      </c>
      <c r="D719" t="s">
        <v>95</v>
      </c>
      <c r="E719" t="s">
        <v>72</v>
      </c>
      <c r="F719" t="s">
        <v>67</v>
      </c>
      <c r="G719">
        <v>870</v>
      </c>
      <c r="H719" t="s">
        <v>29</v>
      </c>
      <c r="I719" t="s">
        <v>91</v>
      </c>
      <c r="J719" t="s">
        <v>63</v>
      </c>
      <c r="K719" s="4">
        <v>385.01</v>
      </c>
      <c r="L719" t="s">
        <v>1787</v>
      </c>
      <c r="M719" s="1">
        <v>46631</v>
      </c>
      <c r="N719" t="s">
        <v>41</v>
      </c>
      <c r="O719" t="s">
        <v>51</v>
      </c>
    </row>
    <row r="720" spans="1:15" x14ac:dyDescent="0.25">
      <c r="A720" t="s">
        <v>1788</v>
      </c>
      <c r="B720" t="s">
        <v>16</v>
      </c>
      <c r="C720">
        <v>2005</v>
      </c>
      <c r="D720" t="s">
        <v>17</v>
      </c>
      <c r="E720" t="s">
        <v>119</v>
      </c>
      <c r="F720" t="s">
        <v>79</v>
      </c>
      <c r="G720">
        <v>820</v>
      </c>
      <c r="H720" t="s">
        <v>47</v>
      </c>
      <c r="I720" t="s">
        <v>39</v>
      </c>
      <c r="J720" t="s">
        <v>31</v>
      </c>
      <c r="K720" s="4">
        <v>122.56</v>
      </c>
      <c r="L720" t="s">
        <v>1789</v>
      </c>
      <c r="M720" s="1">
        <v>46316</v>
      </c>
      <c r="N720" t="s">
        <v>75</v>
      </c>
      <c r="O720" t="s">
        <v>51</v>
      </c>
    </row>
    <row r="721" spans="1:15" x14ac:dyDescent="0.25">
      <c r="A721" t="s">
        <v>1790</v>
      </c>
      <c r="B721" t="s">
        <v>70</v>
      </c>
      <c r="C721">
        <v>2018</v>
      </c>
      <c r="D721" t="s">
        <v>17</v>
      </c>
      <c r="E721" t="s">
        <v>72</v>
      </c>
      <c r="F721" t="s">
        <v>28</v>
      </c>
      <c r="G721">
        <v>760</v>
      </c>
      <c r="H721" t="s">
        <v>20</v>
      </c>
      <c r="I721" t="s">
        <v>80</v>
      </c>
      <c r="J721" t="s">
        <v>121</v>
      </c>
      <c r="K721" s="4">
        <v>340.18</v>
      </c>
      <c r="L721" t="s">
        <v>1791</v>
      </c>
      <c r="M721" s="1">
        <v>46241</v>
      </c>
      <c r="N721" t="s">
        <v>75</v>
      </c>
      <c r="O721" t="s">
        <v>33</v>
      </c>
    </row>
    <row r="722" spans="1:15" x14ac:dyDescent="0.25">
      <c r="A722" t="s">
        <v>1792</v>
      </c>
      <c r="B722" t="s">
        <v>138</v>
      </c>
      <c r="C722">
        <v>2018</v>
      </c>
      <c r="D722" t="s">
        <v>89</v>
      </c>
      <c r="E722" t="s">
        <v>54</v>
      </c>
      <c r="F722" t="s">
        <v>1793</v>
      </c>
      <c r="G722">
        <v>180</v>
      </c>
      <c r="H722" t="s">
        <v>47</v>
      </c>
      <c r="I722" t="s">
        <v>21</v>
      </c>
      <c r="J722" t="s">
        <v>49</v>
      </c>
      <c r="K722" s="4">
        <v>345.21</v>
      </c>
      <c r="L722" t="s">
        <v>1794</v>
      </c>
      <c r="M722" s="1">
        <v>45896</v>
      </c>
      <c r="N722" t="s">
        <v>41</v>
      </c>
      <c r="O722" t="s">
        <v>33</v>
      </c>
    </row>
    <row r="723" spans="1:15" x14ac:dyDescent="0.25">
      <c r="A723" t="s">
        <v>1025</v>
      </c>
      <c r="B723" t="s">
        <v>77</v>
      </c>
      <c r="C723">
        <v>2007</v>
      </c>
      <c r="D723" t="s">
        <v>83</v>
      </c>
      <c r="E723" t="s">
        <v>104</v>
      </c>
      <c r="F723" t="s">
        <v>1620</v>
      </c>
      <c r="G723">
        <v>490</v>
      </c>
      <c r="H723" t="s">
        <v>29</v>
      </c>
      <c r="I723" t="s">
        <v>151</v>
      </c>
      <c r="J723" t="s">
        <v>101</v>
      </c>
      <c r="K723" s="4">
        <v>34.11</v>
      </c>
      <c r="L723" t="s">
        <v>1795</v>
      </c>
      <c r="M723" s="1">
        <v>46074</v>
      </c>
      <c r="N723" t="s">
        <v>75</v>
      </c>
      <c r="O723" t="s">
        <v>51</v>
      </c>
    </row>
    <row r="724" spans="1:15" x14ac:dyDescent="0.25">
      <c r="A724" t="s">
        <v>1796</v>
      </c>
      <c r="B724" t="s">
        <v>134</v>
      </c>
      <c r="C724">
        <v>2024</v>
      </c>
      <c r="D724" t="s">
        <v>36</v>
      </c>
      <c r="E724" t="s">
        <v>45</v>
      </c>
      <c r="F724" t="s">
        <v>1797</v>
      </c>
      <c r="G724">
        <v>120</v>
      </c>
      <c r="H724" t="s">
        <v>85</v>
      </c>
      <c r="I724" t="s">
        <v>86</v>
      </c>
      <c r="J724" t="s">
        <v>146</v>
      </c>
      <c r="K724" s="4">
        <v>140</v>
      </c>
      <c r="L724" t="s">
        <v>1798</v>
      </c>
      <c r="M724" s="1">
        <v>45907</v>
      </c>
      <c r="N724" t="s">
        <v>24</v>
      </c>
      <c r="O724" t="s">
        <v>33</v>
      </c>
    </row>
    <row r="725" spans="1:15" x14ac:dyDescent="0.25">
      <c r="A725" t="s">
        <v>1799</v>
      </c>
      <c r="B725" t="s">
        <v>43</v>
      </c>
      <c r="C725">
        <v>2003</v>
      </c>
      <c r="D725" t="s">
        <v>36</v>
      </c>
      <c r="E725" t="s">
        <v>72</v>
      </c>
      <c r="F725" t="s">
        <v>388</v>
      </c>
      <c r="G725">
        <v>600</v>
      </c>
      <c r="H725" t="s">
        <v>56</v>
      </c>
      <c r="I725" t="s">
        <v>86</v>
      </c>
      <c r="J725" t="s">
        <v>22</v>
      </c>
      <c r="K725" s="4">
        <v>166.37</v>
      </c>
      <c r="L725" t="s">
        <v>1800</v>
      </c>
      <c r="M725" s="1">
        <v>46298</v>
      </c>
      <c r="N725" t="s">
        <v>24</v>
      </c>
      <c r="O725" t="s">
        <v>33</v>
      </c>
    </row>
    <row r="726" spans="1:15" x14ac:dyDescent="0.25">
      <c r="A726" t="s">
        <v>1801</v>
      </c>
      <c r="B726" t="s">
        <v>59</v>
      </c>
      <c r="C726">
        <v>2018</v>
      </c>
      <c r="D726" t="s">
        <v>66</v>
      </c>
      <c r="E726" t="s">
        <v>60</v>
      </c>
      <c r="F726" t="s">
        <v>1002</v>
      </c>
      <c r="G726">
        <v>570</v>
      </c>
      <c r="H726" t="s">
        <v>29</v>
      </c>
      <c r="I726" t="s">
        <v>86</v>
      </c>
      <c r="J726" t="s">
        <v>101</v>
      </c>
      <c r="K726" s="4">
        <v>149.63999999999999</v>
      </c>
      <c r="L726" t="s">
        <v>1802</v>
      </c>
      <c r="M726" s="1">
        <v>46164</v>
      </c>
      <c r="N726" t="s">
        <v>75</v>
      </c>
      <c r="O726" t="s">
        <v>33</v>
      </c>
    </row>
    <row r="727" spans="1:15" x14ac:dyDescent="0.25">
      <c r="A727" t="s">
        <v>1803</v>
      </c>
      <c r="B727" t="s">
        <v>16</v>
      </c>
      <c r="C727">
        <v>2022</v>
      </c>
      <c r="D727" t="s">
        <v>66</v>
      </c>
      <c r="E727" t="s">
        <v>104</v>
      </c>
      <c r="F727" t="s">
        <v>67</v>
      </c>
      <c r="G727">
        <v>450</v>
      </c>
      <c r="H727" t="s">
        <v>62</v>
      </c>
      <c r="I727" t="s">
        <v>91</v>
      </c>
      <c r="J727" t="s">
        <v>31</v>
      </c>
      <c r="K727" s="4">
        <v>31.74</v>
      </c>
      <c r="L727" t="s">
        <v>1804</v>
      </c>
      <c r="M727" s="1">
        <v>45882</v>
      </c>
      <c r="N727" t="s">
        <v>41</v>
      </c>
      <c r="O727" t="s">
        <v>25</v>
      </c>
    </row>
    <row r="728" spans="1:15" x14ac:dyDescent="0.25">
      <c r="A728" t="s">
        <v>1805</v>
      </c>
      <c r="B728" t="s">
        <v>35</v>
      </c>
      <c r="C728">
        <v>1991</v>
      </c>
      <c r="D728" t="s">
        <v>17</v>
      </c>
      <c r="E728" t="s">
        <v>45</v>
      </c>
      <c r="F728" t="s">
        <v>1806</v>
      </c>
      <c r="G728">
        <v>860</v>
      </c>
      <c r="H728" t="s">
        <v>47</v>
      </c>
      <c r="I728" t="s">
        <v>39</v>
      </c>
      <c r="J728" t="s">
        <v>31</v>
      </c>
      <c r="K728" s="4">
        <v>328.23</v>
      </c>
      <c r="L728" t="s">
        <v>1807</v>
      </c>
      <c r="M728" s="1">
        <v>46055</v>
      </c>
      <c r="N728" t="s">
        <v>75</v>
      </c>
      <c r="O728" t="s">
        <v>51</v>
      </c>
    </row>
    <row r="729" spans="1:15" x14ac:dyDescent="0.25">
      <c r="A729" t="s">
        <v>1808</v>
      </c>
      <c r="B729" t="s">
        <v>59</v>
      </c>
      <c r="C729">
        <v>1996</v>
      </c>
      <c r="D729" t="s">
        <v>89</v>
      </c>
      <c r="E729" t="s">
        <v>45</v>
      </c>
      <c r="F729" t="s">
        <v>1309</v>
      </c>
      <c r="G729">
        <v>340</v>
      </c>
      <c r="H729" t="s">
        <v>56</v>
      </c>
      <c r="I729" t="s">
        <v>73</v>
      </c>
      <c r="J729" t="s">
        <v>22</v>
      </c>
      <c r="K729" s="4">
        <v>319.16000000000003</v>
      </c>
      <c r="L729" t="s">
        <v>1809</v>
      </c>
      <c r="M729" s="1">
        <v>46955</v>
      </c>
      <c r="N729" t="s">
        <v>24</v>
      </c>
      <c r="O729" t="s">
        <v>51</v>
      </c>
    </row>
    <row r="730" spans="1:15" x14ac:dyDescent="0.25">
      <c r="A730" t="s">
        <v>1810</v>
      </c>
      <c r="B730" t="s">
        <v>59</v>
      </c>
      <c r="C730">
        <v>1993</v>
      </c>
      <c r="D730" t="s">
        <v>17</v>
      </c>
      <c r="E730" t="s">
        <v>45</v>
      </c>
      <c r="F730" t="s">
        <v>1811</v>
      </c>
      <c r="G730">
        <v>450</v>
      </c>
      <c r="H730" t="s">
        <v>56</v>
      </c>
      <c r="I730" t="s">
        <v>91</v>
      </c>
      <c r="J730" t="s">
        <v>31</v>
      </c>
      <c r="K730" s="4">
        <v>157.86000000000001</v>
      </c>
      <c r="L730" t="s">
        <v>1812</v>
      </c>
      <c r="M730" s="1">
        <v>46160</v>
      </c>
      <c r="N730" t="s">
        <v>24</v>
      </c>
      <c r="O730" t="s">
        <v>25</v>
      </c>
    </row>
    <row r="731" spans="1:15" x14ac:dyDescent="0.25">
      <c r="A731" t="s">
        <v>182</v>
      </c>
      <c r="B731" t="s">
        <v>134</v>
      </c>
      <c r="C731">
        <v>2008</v>
      </c>
      <c r="D731" t="s">
        <v>44</v>
      </c>
      <c r="E731" t="s">
        <v>54</v>
      </c>
      <c r="F731" t="s">
        <v>1813</v>
      </c>
      <c r="G731">
        <v>370</v>
      </c>
      <c r="H731" t="s">
        <v>47</v>
      </c>
      <c r="I731" t="s">
        <v>80</v>
      </c>
      <c r="J731" t="s">
        <v>125</v>
      </c>
      <c r="K731" s="4">
        <v>80.91</v>
      </c>
      <c r="L731" t="s">
        <v>1814</v>
      </c>
      <c r="M731" s="1">
        <v>46385</v>
      </c>
      <c r="N731" t="s">
        <v>41</v>
      </c>
      <c r="O731" t="s">
        <v>51</v>
      </c>
    </row>
    <row r="732" spans="1:15" x14ac:dyDescent="0.25">
      <c r="A732" t="s">
        <v>1815</v>
      </c>
      <c r="B732" t="s">
        <v>16</v>
      </c>
      <c r="C732">
        <v>1990</v>
      </c>
      <c r="D732" t="s">
        <v>36</v>
      </c>
      <c r="E732" t="s">
        <v>99</v>
      </c>
      <c r="F732" t="s">
        <v>135</v>
      </c>
      <c r="G732">
        <v>430</v>
      </c>
      <c r="H732" t="s">
        <v>20</v>
      </c>
      <c r="I732" t="s">
        <v>86</v>
      </c>
      <c r="J732" t="s">
        <v>110</v>
      </c>
      <c r="K732" s="4">
        <v>57.87</v>
      </c>
      <c r="L732" t="s">
        <v>1816</v>
      </c>
      <c r="M732" s="1">
        <v>46647</v>
      </c>
      <c r="N732" t="s">
        <v>75</v>
      </c>
      <c r="O732" t="s">
        <v>51</v>
      </c>
    </row>
    <row r="733" spans="1:15" x14ac:dyDescent="0.25">
      <c r="A733" t="s">
        <v>1817</v>
      </c>
      <c r="B733" t="s">
        <v>43</v>
      </c>
      <c r="C733">
        <v>2003</v>
      </c>
      <c r="D733" t="s">
        <v>89</v>
      </c>
      <c r="E733" t="s">
        <v>116</v>
      </c>
      <c r="F733" t="s">
        <v>28</v>
      </c>
      <c r="G733">
        <v>210</v>
      </c>
      <c r="H733" t="s">
        <v>29</v>
      </c>
      <c r="I733" t="s">
        <v>151</v>
      </c>
      <c r="J733" t="s">
        <v>121</v>
      </c>
      <c r="K733" s="4">
        <v>292.89999999999998</v>
      </c>
      <c r="L733" t="s">
        <v>1818</v>
      </c>
      <c r="M733" s="1">
        <v>46026</v>
      </c>
      <c r="N733" t="s">
        <v>41</v>
      </c>
      <c r="O733" t="s">
        <v>25</v>
      </c>
    </row>
    <row r="734" spans="1:15" x14ac:dyDescent="0.25">
      <c r="A734" t="s">
        <v>1819</v>
      </c>
      <c r="B734" t="s">
        <v>16</v>
      </c>
      <c r="C734">
        <v>1996</v>
      </c>
      <c r="D734" t="s">
        <v>108</v>
      </c>
      <c r="E734" t="s">
        <v>119</v>
      </c>
      <c r="F734" t="s">
        <v>1464</v>
      </c>
      <c r="G734">
        <v>760</v>
      </c>
      <c r="H734" t="s">
        <v>29</v>
      </c>
      <c r="I734" t="s">
        <v>48</v>
      </c>
      <c r="J734" t="s">
        <v>31</v>
      </c>
      <c r="K734" s="4">
        <v>146.49</v>
      </c>
      <c r="L734" t="s">
        <v>1820</v>
      </c>
      <c r="M734" s="1">
        <v>46282</v>
      </c>
      <c r="N734" t="s">
        <v>24</v>
      </c>
      <c r="O734" t="s">
        <v>33</v>
      </c>
    </row>
    <row r="735" spans="1:15" x14ac:dyDescent="0.25">
      <c r="A735" t="s">
        <v>1821</v>
      </c>
      <c r="B735" t="s">
        <v>70</v>
      </c>
      <c r="C735">
        <v>2013</v>
      </c>
      <c r="D735" t="s">
        <v>27</v>
      </c>
      <c r="E735" t="s">
        <v>78</v>
      </c>
      <c r="F735" t="s">
        <v>180</v>
      </c>
      <c r="G735">
        <v>890</v>
      </c>
      <c r="H735" t="s">
        <v>38</v>
      </c>
      <c r="I735" t="s">
        <v>21</v>
      </c>
      <c r="J735" t="s">
        <v>22</v>
      </c>
      <c r="K735" s="4">
        <v>360.7</v>
      </c>
      <c r="L735" t="s">
        <v>1822</v>
      </c>
      <c r="M735" s="1">
        <v>46031</v>
      </c>
      <c r="N735" t="s">
        <v>24</v>
      </c>
      <c r="O735" t="s">
        <v>25</v>
      </c>
    </row>
    <row r="736" spans="1:15" x14ac:dyDescent="0.25">
      <c r="A736" t="s">
        <v>1823</v>
      </c>
      <c r="B736" t="s">
        <v>138</v>
      </c>
      <c r="C736">
        <v>2014</v>
      </c>
      <c r="D736" t="s">
        <v>17</v>
      </c>
      <c r="E736" t="s">
        <v>60</v>
      </c>
      <c r="F736" t="s">
        <v>755</v>
      </c>
      <c r="G736">
        <v>100</v>
      </c>
      <c r="H736" t="s">
        <v>62</v>
      </c>
      <c r="I736" t="s">
        <v>186</v>
      </c>
      <c r="J736" t="s">
        <v>31</v>
      </c>
      <c r="K736" s="4">
        <v>476.34</v>
      </c>
      <c r="L736" t="s">
        <v>1824</v>
      </c>
      <c r="M736" s="1">
        <v>46018</v>
      </c>
      <c r="N736" t="s">
        <v>75</v>
      </c>
      <c r="O736" t="s">
        <v>33</v>
      </c>
    </row>
    <row r="737" spans="1:15" x14ac:dyDescent="0.25">
      <c r="A737" t="s">
        <v>1825</v>
      </c>
      <c r="B737" t="s">
        <v>35</v>
      </c>
      <c r="C737">
        <v>1996</v>
      </c>
      <c r="D737" t="s">
        <v>108</v>
      </c>
      <c r="E737" t="s">
        <v>18</v>
      </c>
      <c r="F737" t="s">
        <v>208</v>
      </c>
      <c r="G737">
        <v>250</v>
      </c>
      <c r="H737" t="s">
        <v>47</v>
      </c>
      <c r="I737" t="s">
        <v>186</v>
      </c>
      <c r="J737" t="s">
        <v>31</v>
      </c>
      <c r="K737" s="4">
        <v>473.38</v>
      </c>
      <c r="L737" t="s">
        <v>1826</v>
      </c>
      <c r="M737" s="1">
        <v>46802</v>
      </c>
      <c r="N737" t="s">
        <v>41</v>
      </c>
      <c r="O737" t="s">
        <v>33</v>
      </c>
    </row>
    <row r="738" spans="1:15" x14ac:dyDescent="0.25">
      <c r="A738" t="s">
        <v>1827</v>
      </c>
      <c r="B738" t="s">
        <v>53</v>
      </c>
      <c r="C738">
        <v>2002</v>
      </c>
      <c r="D738" t="s">
        <v>17</v>
      </c>
      <c r="E738" t="s">
        <v>104</v>
      </c>
      <c r="F738" t="s">
        <v>79</v>
      </c>
      <c r="G738">
        <v>920</v>
      </c>
      <c r="H738" t="s">
        <v>85</v>
      </c>
      <c r="I738" t="s">
        <v>86</v>
      </c>
      <c r="J738" t="s">
        <v>125</v>
      </c>
      <c r="K738" s="4">
        <v>38.21</v>
      </c>
      <c r="L738" t="s">
        <v>1828</v>
      </c>
      <c r="M738" s="1">
        <v>46598</v>
      </c>
      <c r="N738" t="s">
        <v>24</v>
      </c>
      <c r="O738" t="s">
        <v>51</v>
      </c>
    </row>
    <row r="739" spans="1:15" x14ac:dyDescent="0.25">
      <c r="A739" t="s">
        <v>200</v>
      </c>
      <c r="B739" t="s">
        <v>98</v>
      </c>
      <c r="C739">
        <v>2014</v>
      </c>
      <c r="D739" t="s">
        <v>95</v>
      </c>
      <c r="E739" t="s">
        <v>45</v>
      </c>
      <c r="F739" t="s">
        <v>661</v>
      </c>
      <c r="G739">
        <v>40</v>
      </c>
      <c r="H739" t="s">
        <v>20</v>
      </c>
      <c r="I739" t="s">
        <v>73</v>
      </c>
      <c r="J739" t="s">
        <v>31</v>
      </c>
      <c r="K739" s="4">
        <v>292.74</v>
      </c>
      <c r="L739" t="s">
        <v>1829</v>
      </c>
      <c r="M739" s="1">
        <v>46143</v>
      </c>
      <c r="N739" t="s">
        <v>75</v>
      </c>
      <c r="O739" t="s">
        <v>25</v>
      </c>
    </row>
    <row r="740" spans="1:15" x14ac:dyDescent="0.25">
      <c r="A740" t="s">
        <v>1830</v>
      </c>
      <c r="B740" t="s">
        <v>35</v>
      </c>
      <c r="C740">
        <v>1995</v>
      </c>
      <c r="D740" t="s">
        <v>44</v>
      </c>
      <c r="E740" t="s">
        <v>78</v>
      </c>
      <c r="F740" t="s">
        <v>28</v>
      </c>
      <c r="G740">
        <v>930</v>
      </c>
      <c r="H740" t="s">
        <v>85</v>
      </c>
      <c r="I740" t="s">
        <v>73</v>
      </c>
      <c r="J740" t="s">
        <v>146</v>
      </c>
      <c r="K740" s="4">
        <v>125.51</v>
      </c>
      <c r="L740" t="s">
        <v>1831</v>
      </c>
      <c r="M740" s="1">
        <v>46001</v>
      </c>
      <c r="N740" t="s">
        <v>75</v>
      </c>
      <c r="O740" t="s">
        <v>51</v>
      </c>
    </row>
    <row r="741" spans="1:15" x14ac:dyDescent="0.25">
      <c r="A741" t="s">
        <v>1832</v>
      </c>
      <c r="B741" t="s">
        <v>134</v>
      </c>
      <c r="C741">
        <v>2001</v>
      </c>
      <c r="D741" t="s">
        <v>44</v>
      </c>
      <c r="E741" t="s">
        <v>116</v>
      </c>
      <c r="F741" t="s">
        <v>28</v>
      </c>
      <c r="G741">
        <v>820</v>
      </c>
      <c r="H741" t="s">
        <v>38</v>
      </c>
      <c r="I741" t="s">
        <v>186</v>
      </c>
      <c r="J741" t="s">
        <v>121</v>
      </c>
      <c r="K741" s="4">
        <v>397.06</v>
      </c>
      <c r="L741" t="s">
        <v>1833</v>
      </c>
      <c r="M741" s="1">
        <v>45911</v>
      </c>
      <c r="N741" t="s">
        <v>41</v>
      </c>
      <c r="O741" t="s">
        <v>51</v>
      </c>
    </row>
    <row r="742" spans="1:15" x14ac:dyDescent="0.25">
      <c r="A742" t="s">
        <v>1834</v>
      </c>
      <c r="B742" t="s">
        <v>35</v>
      </c>
      <c r="C742">
        <v>2003</v>
      </c>
      <c r="D742" t="s">
        <v>36</v>
      </c>
      <c r="E742" t="s">
        <v>99</v>
      </c>
      <c r="F742" t="s">
        <v>490</v>
      </c>
      <c r="G742">
        <v>460</v>
      </c>
      <c r="H742" t="s">
        <v>38</v>
      </c>
      <c r="I742" t="s">
        <v>48</v>
      </c>
      <c r="J742" t="s">
        <v>31</v>
      </c>
      <c r="K742" s="4">
        <v>71.11</v>
      </c>
      <c r="L742" t="s">
        <v>1835</v>
      </c>
      <c r="M742" s="1">
        <v>46137</v>
      </c>
      <c r="N742" t="s">
        <v>75</v>
      </c>
      <c r="O742" t="s">
        <v>25</v>
      </c>
    </row>
    <row r="743" spans="1:15" x14ac:dyDescent="0.25">
      <c r="A743" t="s">
        <v>1836</v>
      </c>
      <c r="B743" t="s">
        <v>35</v>
      </c>
      <c r="C743">
        <v>2012</v>
      </c>
      <c r="D743" t="s">
        <v>89</v>
      </c>
      <c r="E743" t="s">
        <v>54</v>
      </c>
      <c r="F743" t="s">
        <v>893</v>
      </c>
      <c r="G743">
        <v>960</v>
      </c>
      <c r="H743" t="s">
        <v>85</v>
      </c>
      <c r="I743" t="s">
        <v>151</v>
      </c>
      <c r="J743" t="s">
        <v>22</v>
      </c>
      <c r="K743" s="4">
        <v>56.88</v>
      </c>
      <c r="L743" t="s">
        <v>1837</v>
      </c>
      <c r="M743" s="1">
        <v>46227</v>
      </c>
      <c r="N743" t="s">
        <v>41</v>
      </c>
      <c r="O743" t="s">
        <v>33</v>
      </c>
    </row>
    <row r="744" spans="1:15" x14ac:dyDescent="0.25">
      <c r="A744" t="s">
        <v>1838</v>
      </c>
      <c r="B744" t="s">
        <v>98</v>
      </c>
      <c r="C744">
        <v>2010</v>
      </c>
      <c r="D744" t="s">
        <v>83</v>
      </c>
      <c r="E744" t="s">
        <v>54</v>
      </c>
      <c r="F744" t="s">
        <v>19</v>
      </c>
      <c r="G744">
        <v>930</v>
      </c>
      <c r="H744" t="s">
        <v>38</v>
      </c>
      <c r="I744" t="s">
        <v>151</v>
      </c>
      <c r="J744" t="s">
        <v>125</v>
      </c>
      <c r="K744" s="4">
        <v>404.99</v>
      </c>
      <c r="L744" t="s">
        <v>1839</v>
      </c>
      <c r="M744" s="1">
        <v>46947</v>
      </c>
      <c r="N744" t="s">
        <v>75</v>
      </c>
      <c r="O744" t="s">
        <v>25</v>
      </c>
    </row>
    <row r="745" spans="1:15" x14ac:dyDescent="0.25">
      <c r="A745" t="s">
        <v>1840</v>
      </c>
      <c r="B745" t="s">
        <v>98</v>
      </c>
      <c r="C745">
        <v>2008</v>
      </c>
      <c r="D745" t="s">
        <v>17</v>
      </c>
      <c r="E745" t="s">
        <v>104</v>
      </c>
      <c r="F745" t="s">
        <v>139</v>
      </c>
      <c r="G745">
        <v>540</v>
      </c>
      <c r="H745" t="s">
        <v>20</v>
      </c>
      <c r="I745" t="s">
        <v>39</v>
      </c>
      <c r="J745" t="s">
        <v>110</v>
      </c>
      <c r="K745" s="4">
        <v>199.66</v>
      </c>
      <c r="L745" t="s">
        <v>1841</v>
      </c>
      <c r="M745" s="1">
        <v>46780</v>
      </c>
      <c r="N745" t="s">
        <v>24</v>
      </c>
      <c r="O745" t="s">
        <v>25</v>
      </c>
    </row>
    <row r="746" spans="1:15" x14ac:dyDescent="0.25">
      <c r="A746" t="s">
        <v>1842</v>
      </c>
      <c r="B746" t="s">
        <v>53</v>
      </c>
      <c r="C746">
        <v>2020</v>
      </c>
      <c r="D746" t="s">
        <v>17</v>
      </c>
      <c r="E746" t="s">
        <v>54</v>
      </c>
      <c r="F746" t="s">
        <v>1843</v>
      </c>
      <c r="G746">
        <v>770</v>
      </c>
      <c r="H746" t="s">
        <v>47</v>
      </c>
      <c r="I746" t="s">
        <v>30</v>
      </c>
      <c r="J746" t="s">
        <v>31</v>
      </c>
      <c r="K746" s="4">
        <v>292.57</v>
      </c>
      <c r="L746" t="s">
        <v>1844</v>
      </c>
      <c r="M746" s="1">
        <v>46611</v>
      </c>
      <c r="N746" t="s">
        <v>75</v>
      </c>
      <c r="O746" t="s">
        <v>33</v>
      </c>
    </row>
    <row r="747" spans="1:15" x14ac:dyDescent="0.25">
      <c r="A747" t="s">
        <v>1845</v>
      </c>
      <c r="B747" t="s">
        <v>16</v>
      </c>
      <c r="C747">
        <v>2010</v>
      </c>
      <c r="D747" t="s">
        <v>66</v>
      </c>
      <c r="E747" t="s">
        <v>104</v>
      </c>
      <c r="F747" t="s">
        <v>1846</v>
      </c>
      <c r="G747">
        <v>980</v>
      </c>
      <c r="H747" t="s">
        <v>47</v>
      </c>
      <c r="I747" t="s">
        <v>151</v>
      </c>
      <c r="J747" t="s">
        <v>121</v>
      </c>
      <c r="K747" s="4">
        <v>159.47999999999999</v>
      </c>
      <c r="L747" t="s">
        <v>1847</v>
      </c>
      <c r="M747" s="1">
        <v>46015</v>
      </c>
      <c r="N747" t="s">
        <v>41</v>
      </c>
      <c r="O747" t="s">
        <v>25</v>
      </c>
    </row>
    <row r="748" spans="1:15" x14ac:dyDescent="0.25">
      <c r="A748" t="s">
        <v>1848</v>
      </c>
      <c r="B748" t="s">
        <v>53</v>
      </c>
      <c r="C748">
        <v>2024</v>
      </c>
      <c r="D748" t="s">
        <v>36</v>
      </c>
      <c r="E748" t="s">
        <v>54</v>
      </c>
      <c r="F748" t="s">
        <v>444</v>
      </c>
      <c r="G748">
        <v>300</v>
      </c>
      <c r="H748" t="s">
        <v>29</v>
      </c>
      <c r="I748" t="s">
        <v>151</v>
      </c>
      <c r="J748" t="s">
        <v>146</v>
      </c>
      <c r="K748" s="4">
        <v>70.98</v>
      </c>
      <c r="L748" t="s">
        <v>1849</v>
      </c>
      <c r="M748" s="1">
        <v>46133</v>
      </c>
      <c r="N748" t="s">
        <v>24</v>
      </c>
      <c r="O748" t="s">
        <v>33</v>
      </c>
    </row>
    <row r="749" spans="1:15" x14ac:dyDescent="0.25">
      <c r="A749" t="s">
        <v>1850</v>
      </c>
      <c r="B749" t="s">
        <v>59</v>
      </c>
      <c r="C749">
        <v>2002</v>
      </c>
      <c r="D749" t="s">
        <v>27</v>
      </c>
      <c r="E749" t="s">
        <v>104</v>
      </c>
      <c r="F749" t="s">
        <v>67</v>
      </c>
      <c r="G749">
        <v>80</v>
      </c>
      <c r="H749" t="s">
        <v>85</v>
      </c>
      <c r="I749" t="s">
        <v>186</v>
      </c>
      <c r="J749" t="s">
        <v>101</v>
      </c>
      <c r="K749" s="4">
        <v>423.57</v>
      </c>
      <c r="L749" t="s">
        <v>1851</v>
      </c>
      <c r="M749" s="1">
        <v>46595</v>
      </c>
      <c r="N749" t="s">
        <v>41</v>
      </c>
      <c r="O749" t="s">
        <v>33</v>
      </c>
    </row>
    <row r="750" spans="1:15" x14ac:dyDescent="0.25">
      <c r="A750" t="s">
        <v>1852</v>
      </c>
      <c r="B750" t="s">
        <v>138</v>
      </c>
      <c r="C750">
        <v>2010</v>
      </c>
      <c r="D750" t="s">
        <v>66</v>
      </c>
      <c r="E750" t="s">
        <v>116</v>
      </c>
      <c r="F750" t="s">
        <v>135</v>
      </c>
      <c r="G750">
        <v>720</v>
      </c>
      <c r="H750" t="s">
        <v>38</v>
      </c>
      <c r="I750" t="s">
        <v>73</v>
      </c>
      <c r="J750" t="s">
        <v>110</v>
      </c>
      <c r="K750" s="4">
        <v>436.12</v>
      </c>
      <c r="L750" t="s">
        <v>1853</v>
      </c>
      <c r="M750" s="1">
        <v>46301</v>
      </c>
      <c r="N750" t="s">
        <v>41</v>
      </c>
      <c r="O750" t="s">
        <v>51</v>
      </c>
    </row>
    <row r="751" spans="1:15" x14ac:dyDescent="0.25">
      <c r="A751" t="s">
        <v>1854</v>
      </c>
      <c r="B751" t="s">
        <v>138</v>
      </c>
      <c r="C751">
        <v>1999</v>
      </c>
      <c r="D751" t="s">
        <v>95</v>
      </c>
      <c r="E751" t="s">
        <v>99</v>
      </c>
      <c r="F751" t="s">
        <v>994</v>
      </c>
      <c r="G751">
        <v>600</v>
      </c>
      <c r="H751" t="s">
        <v>62</v>
      </c>
      <c r="I751" t="s">
        <v>21</v>
      </c>
      <c r="J751" t="s">
        <v>125</v>
      </c>
      <c r="K751" s="4">
        <v>464.21</v>
      </c>
      <c r="L751" t="s">
        <v>1855</v>
      </c>
      <c r="M751" s="1">
        <v>46366</v>
      </c>
      <c r="N751" t="s">
        <v>75</v>
      </c>
      <c r="O751" t="s">
        <v>25</v>
      </c>
    </row>
    <row r="752" spans="1:15" x14ac:dyDescent="0.25">
      <c r="A752" t="s">
        <v>1856</v>
      </c>
      <c r="B752" t="s">
        <v>53</v>
      </c>
      <c r="C752">
        <v>2008</v>
      </c>
      <c r="D752" t="s">
        <v>89</v>
      </c>
      <c r="E752" t="s">
        <v>18</v>
      </c>
      <c r="F752" t="s">
        <v>973</v>
      </c>
      <c r="G752">
        <v>570</v>
      </c>
      <c r="H752" t="s">
        <v>85</v>
      </c>
      <c r="I752" t="s">
        <v>48</v>
      </c>
      <c r="J752" t="s">
        <v>49</v>
      </c>
      <c r="K752" s="4">
        <v>166.66</v>
      </c>
      <c r="L752" t="s">
        <v>1857</v>
      </c>
      <c r="M752" s="1">
        <v>46798</v>
      </c>
      <c r="N752" t="s">
        <v>41</v>
      </c>
      <c r="O752" t="s">
        <v>51</v>
      </c>
    </row>
    <row r="753" spans="1:15" x14ac:dyDescent="0.25">
      <c r="A753" t="s">
        <v>1858</v>
      </c>
      <c r="B753" t="s">
        <v>43</v>
      </c>
      <c r="C753">
        <v>2007</v>
      </c>
      <c r="D753" t="s">
        <v>83</v>
      </c>
      <c r="E753" t="s">
        <v>78</v>
      </c>
      <c r="F753" t="s">
        <v>208</v>
      </c>
      <c r="G753">
        <v>690</v>
      </c>
      <c r="H753" t="s">
        <v>85</v>
      </c>
      <c r="I753" t="s">
        <v>39</v>
      </c>
      <c r="J753" t="s">
        <v>121</v>
      </c>
      <c r="K753" s="4">
        <v>219.27</v>
      </c>
      <c r="L753" t="s">
        <v>1859</v>
      </c>
      <c r="M753" s="1">
        <v>46754</v>
      </c>
      <c r="N753" t="s">
        <v>75</v>
      </c>
      <c r="O753" t="s">
        <v>25</v>
      </c>
    </row>
    <row r="754" spans="1:15" x14ac:dyDescent="0.25">
      <c r="A754" t="s">
        <v>1860</v>
      </c>
      <c r="B754" t="s">
        <v>138</v>
      </c>
      <c r="C754">
        <v>2010</v>
      </c>
      <c r="D754" t="s">
        <v>27</v>
      </c>
      <c r="E754" t="s">
        <v>45</v>
      </c>
      <c r="F754" t="s">
        <v>139</v>
      </c>
      <c r="G754">
        <v>40</v>
      </c>
      <c r="H754" t="s">
        <v>38</v>
      </c>
      <c r="I754" t="s">
        <v>80</v>
      </c>
      <c r="J754" t="s">
        <v>63</v>
      </c>
      <c r="K754" s="4">
        <v>172.89</v>
      </c>
      <c r="L754" t="s">
        <v>1861</v>
      </c>
      <c r="M754" s="1">
        <v>46151</v>
      </c>
      <c r="N754" t="s">
        <v>41</v>
      </c>
      <c r="O754" t="s">
        <v>25</v>
      </c>
    </row>
    <row r="755" spans="1:15" x14ac:dyDescent="0.25">
      <c r="A755" t="s">
        <v>1862</v>
      </c>
      <c r="B755" t="s">
        <v>138</v>
      </c>
      <c r="C755">
        <v>1993</v>
      </c>
      <c r="D755" t="s">
        <v>36</v>
      </c>
      <c r="E755" t="s">
        <v>45</v>
      </c>
      <c r="F755" t="s">
        <v>135</v>
      </c>
      <c r="G755">
        <v>130</v>
      </c>
      <c r="H755" t="s">
        <v>56</v>
      </c>
      <c r="I755" t="s">
        <v>86</v>
      </c>
      <c r="J755" t="s">
        <v>92</v>
      </c>
      <c r="K755" s="4">
        <v>335.61</v>
      </c>
      <c r="L755" t="s">
        <v>1863</v>
      </c>
      <c r="M755" s="1">
        <v>46000</v>
      </c>
      <c r="N755" t="s">
        <v>24</v>
      </c>
      <c r="O755" t="s">
        <v>51</v>
      </c>
    </row>
    <row r="756" spans="1:15" x14ac:dyDescent="0.25">
      <c r="A756" t="s">
        <v>1864</v>
      </c>
      <c r="B756" t="s">
        <v>53</v>
      </c>
      <c r="C756">
        <v>1999</v>
      </c>
      <c r="D756" t="s">
        <v>66</v>
      </c>
      <c r="E756" t="s">
        <v>119</v>
      </c>
      <c r="F756" t="s">
        <v>208</v>
      </c>
      <c r="G756">
        <v>950</v>
      </c>
      <c r="H756" t="s">
        <v>62</v>
      </c>
      <c r="I756" t="s">
        <v>48</v>
      </c>
      <c r="J756" t="s">
        <v>125</v>
      </c>
      <c r="K756" s="4">
        <v>486.71</v>
      </c>
      <c r="L756" t="s">
        <v>1865</v>
      </c>
      <c r="M756" s="1">
        <v>46553</v>
      </c>
      <c r="N756" t="s">
        <v>41</v>
      </c>
      <c r="O756" t="s">
        <v>33</v>
      </c>
    </row>
    <row r="757" spans="1:15" x14ac:dyDescent="0.25">
      <c r="A757" t="s">
        <v>1866</v>
      </c>
      <c r="B757" t="s">
        <v>53</v>
      </c>
      <c r="C757">
        <v>2012</v>
      </c>
      <c r="D757" t="s">
        <v>27</v>
      </c>
      <c r="E757" t="s">
        <v>60</v>
      </c>
      <c r="F757" t="s">
        <v>79</v>
      </c>
      <c r="G757">
        <v>180</v>
      </c>
      <c r="H757" t="s">
        <v>85</v>
      </c>
      <c r="I757" t="s">
        <v>80</v>
      </c>
      <c r="J757" t="s">
        <v>22</v>
      </c>
      <c r="K757" s="4">
        <v>444.56</v>
      </c>
      <c r="L757" t="s">
        <v>1867</v>
      </c>
      <c r="M757" s="1">
        <v>46761</v>
      </c>
      <c r="N757" t="s">
        <v>75</v>
      </c>
      <c r="O757" t="s">
        <v>25</v>
      </c>
    </row>
    <row r="758" spans="1:15" x14ac:dyDescent="0.25">
      <c r="A758" t="s">
        <v>1868</v>
      </c>
      <c r="B758" t="s">
        <v>53</v>
      </c>
      <c r="C758">
        <v>1998</v>
      </c>
      <c r="D758" t="s">
        <v>17</v>
      </c>
      <c r="E758" t="s">
        <v>116</v>
      </c>
      <c r="F758" t="s">
        <v>1869</v>
      </c>
      <c r="G758">
        <v>640</v>
      </c>
      <c r="H758" t="s">
        <v>62</v>
      </c>
      <c r="I758" t="s">
        <v>91</v>
      </c>
      <c r="J758" t="s">
        <v>110</v>
      </c>
      <c r="K758" s="4">
        <v>317.20999999999998</v>
      </c>
      <c r="L758" t="s">
        <v>1870</v>
      </c>
      <c r="M758" s="1">
        <v>45907</v>
      </c>
      <c r="N758" t="s">
        <v>41</v>
      </c>
      <c r="O758" t="s">
        <v>51</v>
      </c>
    </row>
    <row r="759" spans="1:15" x14ac:dyDescent="0.25">
      <c r="A759" t="s">
        <v>1871</v>
      </c>
      <c r="B759" t="s">
        <v>35</v>
      </c>
      <c r="C759">
        <v>1998</v>
      </c>
      <c r="D759" t="s">
        <v>108</v>
      </c>
      <c r="E759" t="s">
        <v>119</v>
      </c>
      <c r="F759" t="s">
        <v>885</v>
      </c>
      <c r="G759">
        <v>780</v>
      </c>
      <c r="H759" t="s">
        <v>62</v>
      </c>
      <c r="I759" t="s">
        <v>86</v>
      </c>
      <c r="J759" t="s">
        <v>146</v>
      </c>
      <c r="K759" s="4">
        <v>45.75</v>
      </c>
      <c r="L759" t="s">
        <v>1872</v>
      </c>
      <c r="M759" s="1">
        <v>46110</v>
      </c>
      <c r="N759" t="s">
        <v>75</v>
      </c>
      <c r="O759" t="s">
        <v>33</v>
      </c>
    </row>
    <row r="760" spans="1:15" x14ac:dyDescent="0.25">
      <c r="A760" t="s">
        <v>1873</v>
      </c>
      <c r="B760" t="s">
        <v>138</v>
      </c>
      <c r="C760">
        <v>1998</v>
      </c>
      <c r="D760" t="s">
        <v>95</v>
      </c>
      <c r="E760" t="s">
        <v>78</v>
      </c>
      <c r="F760" t="s">
        <v>145</v>
      </c>
      <c r="G760">
        <v>790</v>
      </c>
      <c r="H760" t="s">
        <v>85</v>
      </c>
      <c r="I760" t="s">
        <v>30</v>
      </c>
      <c r="J760" t="s">
        <v>63</v>
      </c>
      <c r="K760" s="4">
        <v>132.13</v>
      </c>
      <c r="L760" t="s">
        <v>1874</v>
      </c>
      <c r="M760" s="1">
        <v>46781</v>
      </c>
      <c r="N760" t="s">
        <v>75</v>
      </c>
      <c r="O760" t="s">
        <v>25</v>
      </c>
    </row>
    <row r="761" spans="1:15" x14ac:dyDescent="0.25">
      <c r="A761" t="s">
        <v>1875</v>
      </c>
      <c r="B761" t="s">
        <v>43</v>
      </c>
      <c r="C761">
        <v>2016</v>
      </c>
      <c r="D761" t="s">
        <v>89</v>
      </c>
      <c r="E761" t="s">
        <v>60</v>
      </c>
      <c r="F761" t="s">
        <v>1876</v>
      </c>
      <c r="G761">
        <v>670</v>
      </c>
      <c r="H761" t="s">
        <v>29</v>
      </c>
      <c r="I761" t="s">
        <v>91</v>
      </c>
      <c r="J761" t="s">
        <v>110</v>
      </c>
      <c r="K761" s="4">
        <v>108.51</v>
      </c>
      <c r="L761" t="s">
        <v>1877</v>
      </c>
      <c r="M761" s="1">
        <v>46685</v>
      </c>
      <c r="N761" t="s">
        <v>24</v>
      </c>
      <c r="O761" t="s">
        <v>51</v>
      </c>
    </row>
    <row r="762" spans="1:15" x14ac:dyDescent="0.25">
      <c r="A762" t="s">
        <v>665</v>
      </c>
      <c r="B762" t="s">
        <v>35</v>
      </c>
      <c r="C762">
        <v>1990</v>
      </c>
      <c r="D762" t="s">
        <v>66</v>
      </c>
      <c r="E762" t="s">
        <v>54</v>
      </c>
      <c r="F762" t="s">
        <v>1878</v>
      </c>
      <c r="G762">
        <v>720</v>
      </c>
      <c r="H762" t="s">
        <v>85</v>
      </c>
      <c r="I762" t="s">
        <v>30</v>
      </c>
      <c r="J762" t="s">
        <v>101</v>
      </c>
      <c r="K762" s="4">
        <v>168.01</v>
      </c>
      <c r="L762" t="s">
        <v>1879</v>
      </c>
      <c r="M762" s="1">
        <v>46902</v>
      </c>
      <c r="N762" t="s">
        <v>75</v>
      </c>
      <c r="O762" t="s">
        <v>51</v>
      </c>
    </row>
    <row r="763" spans="1:15" x14ac:dyDescent="0.25">
      <c r="A763" t="s">
        <v>1880</v>
      </c>
      <c r="B763" t="s">
        <v>77</v>
      </c>
      <c r="C763">
        <v>2001</v>
      </c>
      <c r="D763" t="s">
        <v>36</v>
      </c>
      <c r="E763" t="s">
        <v>45</v>
      </c>
      <c r="F763" t="s">
        <v>1881</v>
      </c>
      <c r="G763">
        <v>660</v>
      </c>
      <c r="H763" t="s">
        <v>47</v>
      </c>
      <c r="I763" t="s">
        <v>186</v>
      </c>
      <c r="J763" t="s">
        <v>92</v>
      </c>
      <c r="K763" s="4">
        <v>240.14</v>
      </c>
      <c r="L763" t="s">
        <v>1882</v>
      </c>
      <c r="M763" s="1">
        <v>46492</v>
      </c>
      <c r="N763" t="s">
        <v>75</v>
      </c>
      <c r="O763" t="s">
        <v>25</v>
      </c>
    </row>
    <row r="764" spans="1:15" x14ac:dyDescent="0.25">
      <c r="A764" t="s">
        <v>1883</v>
      </c>
      <c r="B764" t="s">
        <v>59</v>
      </c>
      <c r="C764">
        <v>2013</v>
      </c>
      <c r="D764" t="s">
        <v>83</v>
      </c>
      <c r="E764" t="s">
        <v>119</v>
      </c>
      <c r="F764" t="s">
        <v>67</v>
      </c>
      <c r="G764">
        <v>220</v>
      </c>
      <c r="H764" t="s">
        <v>20</v>
      </c>
      <c r="I764" t="s">
        <v>151</v>
      </c>
      <c r="J764" t="s">
        <v>101</v>
      </c>
      <c r="K764" s="4">
        <v>175.91</v>
      </c>
      <c r="L764" t="s">
        <v>1884</v>
      </c>
      <c r="M764" s="1">
        <v>45996</v>
      </c>
      <c r="N764" t="s">
        <v>24</v>
      </c>
      <c r="O764" t="s">
        <v>33</v>
      </c>
    </row>
    <row r="765" spans="1:15" x14ac:dyDescent="0.25">
      <c r="A765" t="s">
        <v>1885</v>
      </c>
      <c r="B765" t="s">
        <v>134</v>
      </c>
      <c r="C765">
        <v>2001</v>
      </c>
      <c r="D765" t="s">
        <v>108</v>
      </c>
      <c r="E765" t="s">
        <v>78</v>
      </c>
      <c r="F765" t="s">
        <v>67</v>
      </c>
      <c r="G765">
        <v>500</v>
      </c>
      <c r="H765" t="s">
        <v>47</v>
      </c>
      <c r="I765" t="s">
        <v>151</v>
      </c>
      <c r="J765" t="s">
        <v>31</v>
      </c>
      <c r="K765" s="4">
        <v>377.9</v>
      </c>
      <c r="L765" t="s">
        <v>1886</v>
      </c>
      <c r="M765" s="1">
        <v>46003</v>
      </c>
      <c r="N765" t="s">
        <v>75</v>
      </c>
      <c r="O765" t="s">
        <v>25</v>
      </c>
    </row>
    <row r="766" spans="1:15" x14ac:dyDescent="0.25">
      <c r="A766" t="s">
        <v>1887</v>
      </c>
      <c r="B766" t="s">
        <v>138</v>
      </c>
      <c r="C766">
        <v>2024</v>
      </c>
      <c r="D766" t="s">
        <v>17</v>
      </c>
      <c r="E766" t="s">
        <v>54</v>
      </c>
      <c r="F766" t="s">
        <v>128</v>
      </c>
      <c r="G766">
        <v>490</v>
      </c>
      <c r="H766" t="s">
        <v>56</v>
      </c>
      <c r="I766" t="s">
        <v>30</v>
      </c>
      <c r="J766" t="s">
        <v>31</v>
      </c>
      <c r="K766" s="4">
        <v>307.22000000000003</v>
      </c>
      <c r="L766" t="s">
        <v>1888</v>
      </c>
      <c r="M766" s="1">
        <v>46367</v>
      </c>
      <c r="N766" t="s">
        <v>24</v>
      </c>
      <c r="O766" t="s">
        <v>25</v>
      </c>
    </row>
    <row r="767" spans="1:15" x14ac:dyDescent="0.25">
      <c r="A767" t="s">
        <v>874</v>
      </c>
      <c r="B767" t="s">
        <v>70</v>
      </c>
      <c r="C767">
        <v>2013</v>
      </c>
      <c r="D767" t="s">
        <v>108</v>
      </c>
      <c r="E767" t="s">
        <v>18</v>
      </c>
      <c r="F767" t="s">
        <v>79</v>
      </c>
      <c r="G767">
        <v>880</v>
      </c>
      <c r="H767" t="s">
        <v>38</v>
      </c>
      <c r="I767" t="s">
        <v>73</v>
      </c>
      <c r="J767" t="s">
        <v>49</v>
      </c>
      <c r="K767" s="4">
        <v>285.43</v>
      </c>
      <c r="L767" t="s">
        <v>1889</v>
      </c>
      <c r="M767" s="1">
        <v>46460</v>
      </c>
      <c r="N767" t="s">
        <v>24</v>
      </c>
      <c r="O767" t="s">
        <v>33</v>
      </c>
    </row>
    <row r="768" spans="1:15" x14ac:dyDescent="0.25">
      <c r="A768" t="s">
        <v>1890</v>
      </c>
      <c r="B768" t="s">
        <v>77</v>
      </c>
      <c r="C768">
        <v>2014</v>
      </c>
      <c r="D768" t="s">
        <v>44</v>
      </c>
      <c r="E768" t="s">
        <v>116</v>
      </c>
      <c r="F768" t="s">
        <v>162</v>
      </c>
      <c r="G768">
        <v>960</v>
      </c>
      <c r="H768" t="s">
        <v>38</v>
      </c>
      <c r="I768" t="s">
        <v>186</v>
      </c>
      <c r="J768" t="s">
        <v>92</v>
      </c>
      <c r="K768" s="4">
        <v>253.78</v>
      </c>
      <c r="L768" t="s">
        <v>1891</v>
      </c>
      <c r="M768" s="1">
        <v>46539</v>
      </c>
      <c r="N768" t="s">
        <v>75</v>
      </c>
      <c r="O768" t="s">
        <v>25</v>
      </c>
    </row>
    <row r="769" spans="1:15" x14ac:dyDescent="0.25">
      <c r="A769" t="s">
        <v>1892</v>
      </c>
      <c r="B769" t="s">
        <v>53</v>
      </c>
      <c r="C769">
        <v>1997</v>
      </c>
      <c r="D769" t="s">
        <v>89</v>
      </c>
      <c r="E769" t="s">
        <v>72</v>
      </c>
      <c r="F769" t="s">
        <v>162</v>
      </c>
      <c r="G769">
        <v>20</v>
      </c>
      <c r="H769" t="s">
        <v>20</v>
      </c>
      <c r="I769" t="s">
        <v>91</v>
      </c>
      <c r="J769" t="s">
        <v>49</v>
      </c>
      <c r="K769" s="4">
        <v>411.75</v>
      </c>
      <c r="L769" t="s">
        <v>1893</v>
      </c>
      <c r="M769" s="1">
        <v>46571</v>
      </c>
      <c r="N769" t="s">
        <v>41</v>
      </c>
      <c r="O769" t="s">
        <v>25</v>
      </c>
    </row>
    <row r="770" spans="1:15" x14ac:dyDescent="0.25">
      <c r="A770" t="s">
        <v>1894</v>
      </c>
      <c r="B770" t="s">
        <v>53</v>
      </c>
      <c r="C770">
        <v>1996</v>
      </c>
      <c r="D770" t="s">
        <v>89</v>
      </c>
      <c r="E770" t="s">
        <v>60</v>
      </c>
      <c r="F770" t="s">
        <v>180</v>
      </c>
      <c r="G770">
        <v>950</v>
      </c>
      <c r="H770" t="s">
        <v>47</v>
      </c>
      <c r="I770" t="s">
        <v>21</v>
      </c>
      <c r="J770" t="s">
        <v>146</v>
      </c>
      <c r="K770" s="4">
        <v>290.68</v>
      </c>
      <c r="L770" t="s">
        <v>1895</v>
      </c>
      <c r="M770" s="1">
        <v>46021</v>
      </c>
      <c r="N770" t="s">
        <v>24</v>
      </c>
      <c r="O770" t="s">
        <v>25</v>
      </c>
    </row>
    <row r="771" spans="1:15" x14ac:dyDescent="0.25">
      <c r="A771" t="s">
        <v>1896</v>
      </c>
      <c r="B771" t="s">
        <v>138</v>
      </c>
      <c r="C771">
        <v>2018</v>
      </c>
      <c r="D771" t="s">
        <v>17</v>
      </c>
      <c r="E771" t="s">
        <v>104</v>
      </c>
      <c r="F771" t="s">
        <v>470</v>
      </c>
      <c r="G771">
        <v>100</v>
      </c>
      <c r="H771" t="s">
        <v>20</v>
      </c>
      <c r="I771" t="s">
        <v>80</v>
      </c>
      <c r="J771" t="s">
        <v>31</v>
      </c>
      <c r="K771" s="4">
        <v>79.2</v>
      </c>
      <c r="L771" t="s">
        <v>1897</v>
      </c>
      <c r="M771" s="1">
        <v>46810</v>
      </c>
      <c r="N771" t="s">
        <v>24</v>
      </c>
      <c r="O771" t="s">
        <v>51</v>
      </c>
    </row>
    <row r="772" spans="1:15" x14ac:dyDescent="0.25">
      <c r="A772" t="s">
        <v>1898</v>
      </c>
      <c r="B772" t="s">
        <v>134</v>
      </c>
      <c r="C772">
        <v>2016</v>
      </c>
      <c r="D772" t="s">
        <v>89</v>
      </c>
      <c r="E772" t="s">
        <v>45</v>
      </c>
      <c r="F772" t="s">
        <v>1522</v>
      </c>
      <c r="G772">
        <v>400</v>
      </c>
      <c r="H772" t="s">
        <v>56</v>
      </c>
      <c r="I772" t="s">
        <v>73</v>
      </c>
      <c r="J772" t="s">
        <v>101</v>
      </c>
      <c r="K772" s="4">
        <v>427.2</v>
      </c>
      <c r="L772" t="s">
        <v>1899</v>
      </c>
      <c r="M772" s="1">
        <v>46638</v>
      </c>
      <c r="N772" t="s">
        <v>41</v>
      </c>
      <c r="O772" t="s">
        <v>51</v>
      </c>
    </row>
    <row r="773" spans="1:15" x14ac:dyDescent="0.25">
      <c r="A773" t="s">
        <v>1900</v>
      </c>
      <c r="B773" t="s">
        <v>134</v>
      </c>
      <c r="C773">
        <v>2012</v>
      </c>
      <c r="D773" t="s">
        <v>83</v>
      </c>
      <c r="E773" t="s">
        <v>72</v>
      </c>
      <c r="F773" t="s">
        <v>1901</v>
      </c>
      <c r="G773">
        <v>430</v>
      </c>
      <c r="H773" t="s">
        <v>85</v>
      </c>
      <c r="I773" t="s">
        <v>151</v>
      </c>
      <c r="J773" t="s">
        <v>92</v>
      </c>
      <c r="K773" s="4">
        <v>325.18</v>
      </c>
      <c r="L773" t="s">
        <v>1902</v>
      </c>
      <c r="M773" s="1">
        <v>46217</v>
      </c>
      <c r="N773" t="s">
        <v>41</v>
      </c>
      <c r="O773" t="s">
        <v>25</v>
      </c>
    </row>
    <row r="774" spans="1:15" x14ac:dyDescent="0.25">
      <c r="A774" t="s">
        <v>1903</v>
      </c>
      <c r="B774" t="s">
        <v>70</v>
      </c>
      <c r="C774">
        <v>2000</v>
      </c>
      <c r="D774" t="s">
        <v>83</v>
      </c>
      <c r="E774" t="s">
        <v>45</v>
      </c>
      <c r="F774" t="s">
        <v>145</v>
      </c>
      <c r="G774">
        <v>690</v>
      </c>
      <c r="H774" t="s">
        <v>56</v>
      </c>
      <c r="I774" t="s">
        <v>48</v>
      </c>
      <c r="J774" t="s">
        <v>92</v>
      </c>
      <c r="K774" s="4">
        <v>450.93</v>
      </c>
      <c r="L774" t="s">
        <v>1904</v>
      </c>
      <c r="M774" s="1">
        <v>46016</v>
      </c>
      <c r="N774" t="s">
        <v>24</v>
      </c>
      <c r="O774" t="s">
        <v>25</v>
      </c>
    </row>
    <row r="775" spans="1:15" x14ac:dyDescent="0.25">
      <c r="A775" t="s">
        <v>1396</v>
      </c>
      <c r="B775" t="s">
        <v>138</v>
      </c>
      <c r="C775">
        <v>2021</v>
      </c>
      <c r="D775" t="s">
        <v>27</v>
      </c>
      <c r="E775" t="s">
        <v>99</v>
      </c>
      <c r="F775" t="s">
        <v>1905</v>
      </c>
      <c r="G775">
        <v>480</v>
      </c>
      <c r="H775" t="s">
        <v>20</v>
      </c>
      <c r="I775" t="s">
        <v>80</v>
      </c>
      <c r="J775" t="s">
        <v>121</v>
      </c>
      <c r="K775" s="4">
        <v>222.26</v>
      </c>
      <c r="L775" t="s">
        <v>1906</v>
      </c>
      <c r="M775" s="1">
        <v>46722</v>
      </c>
      <c r="N775" t="s">
        <v>24</v>
      </c>
      <c r="O775" t="s">
        <v>33</v>
      </c>
    </row>
    <row r="776" spans="1:15" x14ac:dyDescent="0.25">
      <c r="A776" t="s">
        <v>1907</v>
      </c>
      <c r="B776" t="s">
        <v>77</v>
      </c>
      <c r="C776">
        <v>2005</v>
      </c>
      <c r="D776" t="s">
        <v>83</v>
      </c>
      <c r="E776" t="s">
        <v>99</v>
      </c>
      <c r="F776" t="s">
        <v>1103</v>
      </c>
      <c r="G776">
        <v>10</v>
      </c>
      <c r="H776" t="s">
        <v>29</v>
      </c>
      <c r="I776" t="s">
        <v>91</v>
      </c>
      <c r="J776" t="s">
        <v>101</v>
      </c>
      <c r="K776" s="4">
        <v>395.27</v>
      </c>
      <c r="L776" t="s">
        <v>1908</v>
      </c>
      <c r="M776" s="1">
        <v>46950</v>
      </c>
      <c r="N776" t="s">
        <v>75</v>
      </c>
      <c r="O776" t="s">
        <v>25</v>
      </c>
    </row>
    <row r="777" spans="1:15" x14ac:dyDescent="0.25">
      <c r="A777" t="s">
        <v>1909</v>
      </c>
      <c r="B777" t="s">
        <v>43</v>
      </c>
      <c r="C777">
        <v>2006</v>
      </c>
      <c r="D777" t="s">
        <v>95</v>
      </c>
      <c r="E777" t="s">
        <v>119</v>
      </c>
      <c r="F777" t="s">
        <v>128</v>
      </c>
      <c r="G777">
        <v>510</v>
      </c>
      <c r="H777" t="s">
        <v>85</v>
      </c>
      <c r="I777" t="s">
        <v>186</v>
      </c>
      <c r="J777" t="s">
        <v>31</v>
      </c>
      <c r="K777" s="4">
        <v>155.78</v>
      </c>
      <c r="L777" t="s">
        <v>1910</v>
      </c>
      <c r="M777" s="1">
        <v>46555</v>
      </c>
      <c r="N777" t="s">
        <v>24</v>
      </c>
      <c r="O777" t="s">
        <v>25</v>
      </c>
    </row>
    <row r="778" spans="1:15" x14ac:dyDescent="0.25">
      <c r="A778" t="s">
        <v>1911</v>
      </c>
      <c r="B778" t="s">
        <v>53</v>
      </c>
      <c r="C778">
        <v>2012</v>
      </c>
      <c r="D778" t="s">
        <v>83</v>
      </c>
      <c r="E778" t="s">
        <v>78</v>
      </c>
      <c r="F778" t="s">
        <v>1912</v>
      </c>
      <c r="G778">
        <v>310</v>
      </c>
      <c r="H778" t="s">
        <v>38</v>
      </c>
      <c r="I778" t="s">
        <v>80</v>
      </c>
      <c r="J778" t="s">
        <v>110</v>
      </c>
      <c r="K778" s="4">
        <v>304.18</v>
      </c>
      <c r="L778" t="s">
        <v>1913</v>
      </c>
      <c r="M778" s="1">
        <v>46145</v>
      </c>
      <c r="N778" t="s">
        <v>24</v>
      </c>
      <c r="O778" t="s">
        <v>25</v>
      </c>
    </row>
    <row r="779" spans="1:15" x14ac:dyDescent="0.25">
      <c r="A779" t="s">
        <v>1914</v>
      </c>
      <c r="B779" t="s">
        <v>43</v>
      </c>
      <c r="C779">
        <v>2000</v>
      </c>
      <c r="D779" t="s">
        <v>66</v>
      </c>
      <c r="E779" t="s">
        <v>72</v>
      </c>
      <c r="F779" t="s">
        <v>1915</v>
      </c>
      <c r="G779">
        <v>280</v>
      </c>
      <c r="H779" t="s">
        <v>47</v>
      </c>
      <c r="I779" t="s">
        <v>80</v>
      </c>
      <c r="J779" t="s">
        <v>110</v>
      </c>
      <c r="K779" s="4">
        <v>293.07</v>
      </c>
      <c r="L779" t="s">
        <v>1916</v>
      </c>
      <c r="M779" s="1">
        <v>46863</v>
      </c>
      <c r="N779" t="s">
        <v>75</v>
      </c>
      <c r="O779" t="s">
        <v>51</v>
      </c>
    </row>
    <row r="780" spans="1:15" x14ac:dyDescent="0.25">
      <c r="A780" t="s">
        <v>1917</v>
      </c>
      <c r="B780" t="s">
        <v>134</v>
      </c>
      <c r="C780">
        <v>2024</v>
      </c>
      <c r="D780" t="s">
        <v>27</v>
      </c>
      <c r="E780" t="s">
        <v>72</v>
      </c>
      <c r="F780" t="s">
        <v>145</v>
      </c>
      <c r="G780">
        <v>640</v>
      </c>
      <c r="H780" t="s">
        <v>47</v>
      </c>
      <c r="I780" t="s">
        <v>30</v>
      </c>
      <c r="J780" t="s">
        <v>63</v>
      </c>
      <c r="K780" s="4">
        <v>172.04</v>
      </c>
      <c r="L780" t="s">
        <v>1918</v>
      </c>
      <c r="M780" s="1">
        <v>46962</v>
      </c>
      <c r="N780" t="s">
        <v>24</v>
      </c>
      <c r="O780" t="s">
        <v>51</v>
      </c>
    </row>
    <row r="781" spans="1:15" x14ac:dyDescent="0.25">
      <c r="A781" t="s">
        <v>709</v>
      </c>
      <c r="B781" t="s">
        <v>98</v>
      </c>
      <c r="C781">
        <v>2016</v>
      </c>
      <c r="D781" t="s">
        <v>44</v>
      </c>
      <c r="E781" t="s">
        <v>60</v>
      </c>
      <c r="F781" t="s">
        <v>220</v>
      </c>
      <c r="G781">
        <v>380</v>
      </c>
      <c r="H781" t="s">
        <v>29</v>
      </c>
      <c r="I781" t="s">
        <v>80</v>
      </c>
      <c r="J781" t="s">
        <v>31</v>
      </c>
      <c r="K781" s="4">
        <v>333.92</v>
      </c>
      <c r="L781" t="s">
        <v>1919</v>
      </c>
      <c r="M781" s="1">
        <v>46569</v>
      </c>
      <c r="N781" t="s">
        <v>75</v>
      </c>
      <c r="O781" t="s">
        <v>25</v>
      </c>
    </row>
    <row r="782" spans="1:15" x14ac:dyDescent="0.25">
      <c r="A782" t="s">
        <v>1920</v>
      </c>
      <c r="B782" t="s">
        <v>59</v>
      </c>
      <c r="C782">
        <v>2017</v>
      </c>
      <c r="D782" t="s">
        <v>44</v>
      </c>
      <c r="E782" t="s">
        <v>104</v>
      </c>
      <c r="F782" t="s">
        <v>953</v>
      </c>
      <c r="G782">
        <v>900</v>
      </c>
      <c r="H782" t="s">
        <v>56</v>
      </c>
      <c r="I782" t="s">
        <v>73</v>
      </c>
      <c r="J782" t="s">
        <v>101</v>
      </c>
      <c r="K782" s="4">
        <v>2.77</v>
      </c>
      <c r="L782" t="s">
        <v>1921</v>
      </c>
      <c r="M782" s="1">
        <v>46427</v>
      </c>
      <c r="N782" t="s">
        <v>41</v>
      </c>
      <c r="O782" t="s">
        <v>51</v>
      </c>
    </row>
    <row r="783" spans="1:15" x14ac:dyDescent="0.25">
      <c r="A783" t="s">
        <v>1922</v>
      </c>
      <c r="B783" t="s">
        <v>43</v>
      </c>
      <c r="C783">
        <v>2024</v>
      </c>
      <c r="D783" t="s">
        <v>95</v>
      </c>
      <c r="E783" t="s">
        <v>119</v>
      </c>
      <c r="F783" t="s">
        <v>547</v>
      </c>
      <c r="G783">
        <v>630</v>
      </c>
      <c r="H783" t="s">
        <v>47</v>
      </c>
      <c r="I783" t="s">
        <v>186</v>
      </c>
      <c r="J783" t="s">
        <v>146</v>
      </c>
      <c r="K783" s="4">
        <v>222.72</v>
      </c>
      <c r="L783" t="s">
        <v>1923</v>
      </c>
      <c r="M783" s="1">
        <v>46182</v>
      </c>
      <c r="N783" t="s">
        <v>41</v>
      </c>
      <c r="O783" t="s">
        <v>25</v>
      </c>
    </row>
    <row r="784" spans="1:15" x14ac:dyDescent="0.25">
      <c r="A784" t="s">
        <v>1924</v>
      </c>
      <c r="B784" t="s">
        <v>134</v>
      </c>
      <c r="C784">
        <v>1995</v>
      </c>
      <c r="D784" t="s">
        <v>66</v>
      </c>
      <c r="E784" t="s">
        <v>116</v>
      </c>
      <c r="F784" t="s">
        <v>893</v>
      </c>
      <c r="G784">
        <v>620</v>
      </c>
      <c r="H784" t="s">
        <v>29</v>
      </c>
      <c r="I784" t="s">
        <v>151</v>
      </c>
      <c r="J784" t="s">
        <v>125</v>
      </c>
      <c r="K784" s="4">
        <v>39.03</v>
      </c>
      <c r="L784" t="s">
        <v>1925</v>
      </c>
      <c r="M784" s="1">
        <v>46921</v>
      </c>
      <c r="N784" t="s">
        <v>41</v>
      </c>
      <c r="O784" t="s">
        <v>33</v>
      </c>
    </row>
    <row r="785" spans="1:15" x14ac:dyDescent="0.25">
      <c r="A785" t="s">
        <v>1926</v>
      </c>
      <c r="B785" t="s">
        <v>59</v>
      </c>
      <c r="C785">
        <v>1997</v>
      </c>
      <c r="D785" t="s">
        <v>44</v>
      </c>
      <c r="E785" t="s">
        <v>54</v>
      </c>
      <c r="F785" t="s">
        <v>156</v>
      </c>
      <c r="G785">
        <v>580</v>
      </c>
      <c r="H785" t="s">
        <v>38</v>
      </c>
      <c r="I785" t="s">
        <v>73</v>
      </c>
      <c r="J785" t="s">
        <v>63</v>
      </c>
      <c r="K785" s="4">
        <v>340.04</v>
      </c>
      <c r="L785" t="s">
        <v>1927</v>
      </c>
      <c r="M785" s="1">
        <v>46942</v>
      </c>
      <c r="N785" t="s">
        <v>41</v>
      </c>
      <c r="O785" t="s">
        <v>33</v>
      </c>
    </row>
    <row r="786" spans="1:15" x14ac:dyDescent="0.25">
      <c r="A786" t="s">
        <v>1928</v>
      </c>
      <c r="B786" t="s">
        <v>134</v>
      </c>
      <c r="C786">
        <v>2015</v>
      </c>
      <c r="D786" t="s">
        <v>36</v>
      </c>
      <c r="E786" t="s">
        <v>116</v>
      </c>
      <c r="F786" t="s">
        <v>67</v>
      </c>
      <c r="G786">
        <v>640</v>
      </c>
      <c r="H786" t="s">
        <v>56</v>
      </c>
      <c r="I786" t="s">
        <v>151</v>
      </c>
      <c r="J786" t="s">
        <v>110</v>
      </c>
      <c r="K786" s="4">
        <v>245.05</v>
      </c>
      <c r="L786" t="s">
        <v>1929</v>
      </c>
      <c r="M786" s="1">
        <v>46334</v>
      </c>
      <c r="N786" t="s">
        <v>41</v>
      </c>
      <c r="O786" t="s">
        <v>51</v>
      </c>
    </row>
    <row r="787" spans="1:15" x14ac:dyDescent="0.25">
      <c r="A787" t="s">
        <v>1930</v>
      </c>
      <c r="B787" t="s">
        <v>77</v>
      </c>
      <c r="C787">
        <v>2001</v>
      </c>
      <c r="D787" t="s">
        <v>17</v>
      </c>
      <c r="E787" t="s">
        <v>54</v>
      </c>
      <c r="F787" t="s">
        <v>286</v>
      </c>
      <c r="G787">
        <v>220</v>
      </c>
      <c r="H787" t="s">
        <v>29</v>
      </c>
      <c r="I787" t="s">
        <v>39</v>
      </c>
      <c r="J787" t="s">
        <v>146</v>
      </c>
      <c r="K787" s="4">
        <v>256.58999999999997</v>
      </c>
      <c r="L787" t="s">
        <v>1931</v>
      </c>
      <c r="M787" s="1">
        <v>46344</v>
      </c>
      <c r="N787" t="s">
        <v>75</v>
      </c>
      <c r="O787" t="s">
        <v>33</v>
      </c>
    </row>
    <row r="788" spans="1:15" x14ac:dyDescent="0.25">
      <c r="A788" t="s">
        <v>1932</v>
      </c>
      <c r="B788" t="s">
        <v>134</v>
      </c>
      <c r="C788">
        <v>2021</v>
      </c>
      <c r="D788" t="s">
        <v>27</v>
      </c>
      <c r="E788" t="s">
        <v>60</v>
      </c>
      <c r="F788" t="s">
        <v>1933</v>
      </c>
      <c r="G788">
        <v>980</v>
      </c>
      <c r="H788" t="s">
        <v>38</v>
      </c>
      <c r="I788" t="s">
        <v>91</v>
      </c>
      <c r="J788" t="s">
        <v>49</v>
      </c>
      <c r="K788" s="4">
        <v>144.28</v>
      </c>
      <c r="L788" t="s">
        <v>1934</v>
      </c>
      <c r="M788" s="1">
        <v>45984</v>
      </c>
      <c r="N788" t="s">
        <v>41</v>
      </c>
      <c r="O788" t="s">
        <v>25</v>
      </c>
    </row>
    <row r="789" spans="1:15" x14ac:dyDescent="0.25">
      <c r="A789" t="s">
        <v>1935</v>
      </c>
      <c r="B789" t="s">
        <v>70</v>
      </c>
      <c r="C789">
        <v>2021</v>
      </c>
      <c r="D789" t="s">
        <v>36</v>
      </c>
      <c r="E789" t="s">
        <v>18</v>
      </c>
      <c r="F789" t="s">
        <v>67</v>
      </c>
      <c r="G789">
        <v>780</v>
      </c>
      <c r="H789" t="s">
        <v>29</v>
      </c>
      <c r="I789" t="s">
        <v>21</v>
      </c>
      <c r="J789" t="s">
        <v>146</v>
      </c>
      <c r="K789" s="4">
        <v>166.53</v>
      </c>
      <c r="L789" t="s">
        <v>1936</v>
      </c>
      <c r="M789" s="1">
        <v>46072</v>
      </c>
      <c r="N789" t="s">
        <v>24</v>
      </c>
      <c r="O789" t="s">
        <v>33</v>
      </c>
    </row>
    <row r="790" spans="1:15" x14ac:dyDescent="0.25">
      <c r="A790" t="s">
        <v>1937</v>
      </c>
      <c r="B790" t="s">
        <v>77</v>
      </c>
      <c r="C790">
        <v>2001</v>
      </c>
      <c r="D790" t="s">
        <v>17</v>
      </c>
      <c r="E790" t="s">
        <v>60</v>
      </c>
      <c r="F790" t="s">
        <v>162</v>
      </c>
      <c r="G790">
        <v>530</v>
      </c>
      <c r="H790" t="s">
        <v>20</v>
      </c>
      <c r="I790" t="s">
        <v>91</v>
      </c>
      <c r="J790" t="s">
        <v>49</v>
      </c>
      <c r="K790" s="4">
        <v>341.54</v>
      </c>
      <c r="L790" t="s">
        <v>1938</v>
      </c>
      <c r="M790" s="1">
        <v>46793</v>
      </c>
      <c r="N790" t="s">
        <v>24</v>
      </c>
      <c r="O790" t="s">
        <v>33</v>
      </c>
    </row>
    <row r="791" spans="1:15" x14ac:dyDescent="0.25">
      <c r="A791" t="s">
        <v>1939</v>
      </c>
      <c r="B791" t="s">
        <v>70</v>
      </c>
      <c r="C791">
        <v>2023</v>
      </c>
      <c r="D791" t="s">
        <v>36</v>
      </c>
      <c r="E791" t="s">
        <v>99</v>
      </c>
      <c r="F791" t="s">
        <v>962</v>
      </c>
      <c r="G791">
        <v>360</v>
      </c>
      <c r="H791" t="s">
        <v>47</v>
      </c>
      <c r="I791" t="s">
        <v>39</v>
      </c>
      <c r="J791" t="s">
        <v>49</v>
      </c>
      <c r="K791" s="4">
        <v>219.75</v>
      </c>
      <c r="L791" t="s">
        <v>1940</v>
      </c>
      <c r="M791" s="1">
        <v>46173</v>
      </c>
      <c r="N791" t="s">
        <v>24</v>
      </c>
      <c r="O791" t="s">
        <v>33</v>
      </c>
    </row>
    <row r="792" spans="1:15" x14ac:dyDescent="0.25">
      <c r="A792" t="s">
        <v>1941</v>
      </c>
      <c r="B792" t="s">
        <v>134</v>
      </c>
      <c r="C792">
        <v>1997</v>
      </c>
      <c r="D792" t="s">
        <v>71</v>
      </c>
      <c r="E792" t="s">
        <v>119</v>
      </c>
      <c r="F792" t="s">
        <v>1942</v>
      </c>
      <c r="G792">
        <v>390</v>
      </c>
      <c r="H792" t="s">
        <v>56</v>
      </c>
      <c r="I792" t="s">
        <v>48</v>
      </c>
      <c r="J792" t="s">
        <v>49</v>
      </c>
      <c r="K792" s="4">
        <v>167.1</v>
      </c>
      <c r="L792" t="s">
        <v>1943</v>
      </c>
      <c r="M792" s="1">
        <v>46883</v>
      </c>
      <c r="N792" t="s">
        <v>24</v>
      </c>
      <c r="O792" t="s">
        <v>33</v>
      </c>
    </row>
    <row r="793" spans="1:15" x14ac:dyDescent="0.25">
      <c r="A793" t="s">
        <v>1944</v>
      </c>
      <c r="B793" t="s">
        <v>59</v>
      </c>
      <c r="C793">
        <v>1999</v>
      </c>
      <c r="D793" t="s">
        <v>66</v>
      </c>
      <c r="E793" t="s">
        <v>72</v>
      </c>
      <c r="F793" t="s">
        <v>135</v>
      </c>
      <c r="G793">
        <v>740</v>
      </c>
      <c r="H793" t="s">
        <v>62</v>
      </c>
      <c r="I793" t="s">
        <v>91</v>
      </c>
      <c r="J793" t="s">
        <v>146</v>
      </c>
      <c r="K793" s="4">
        <v>155.1</v>
      </c>
      <c r="L793" t="s">
        <v>1945</v>
      </c>
      <c r="M793" s="1">
        <v>46800</v>
      </c>
      <c r="N793" t="s">
        <v>75</v>
      </c>
      <c r="O793" t="s">
        <v>25</v>
      </c>
    </row>
    <row r="794" spans="1:15" x14ac:dyDescent="0.25">
      <c r="A794" t="s">
        <v>1946</v>
      </c>
      <c r="B794" t="s">
        <v>70</v>
      </c>
      <c r="C794">
        <v>2023</v>
      </c>
      <c r="D794" t="s">
        <v>66</v>
      </c>
      <c r="E794" t="s">
        <v>99</v>
      </c>
      <c r="F794" t="s">
        <v>1510</v>
      </c>
      <c r="G794">
        <v>350</v>
      </c>
      <c r="H794" t="s">
        <v>62</v>
      </c>
      <c r="I794" t="s">
        <v>86</v>
      </c>
      <c r="J794" t="s">
        <v>101</v>
      </c>
      <c r="K794" s="4">
        <v>487.58</v>
      </c>
      <c r="L794" t="s">
        <v>1947</v>
      </c>
      <c r="M794" s="1">
        <v>46884</v>
      </c>
      <c r="N794" t="s">
        <v>24</v>
      </c>
      <c r="O794" t="s">
        <v>33</v>
      </c>
    </row>
    <row r="795" spans="1:15" x14ac:dyDescent="0.25">
      <c r="A795" t="s">
        <v>1948</v>
      </c>
      <c r="B795" t="s">
        <v>70</v>
      </c>
      <c r="C795">
        <v>2019</v>
      </c>
      <c r="D795" t="s">
        <v>27</v>
      </c>
      <c r="E795" t="s">
        <v>60</v>
      </c>
      <c r="F795" t="s">
        <v>250</v>
      </c>
      <c r="G795">
        <v>650</v>
      </c>
      <c r="H795" t="s">
        <v>85</v>
      </c>
      <c r="I795" t="s">
        <v>39</v>
      </c>
      <c r="J795" t="s">
        <v>63</v>
      </c>
      <c r="K795" s="4">
        <v>225.26</v>
      </c>
      <c r="L795" t="s">
        <v>1949</v>
      </c>
      <c r="M795" s="1">
        <v>45894</v>
      </c>
      <c r="N795" t="s">
        <v>24</v>
      </c>
      <c r="O795" t="s">
        <v>25</v>
      </c>
    </row>
    <row r="796" spans="1:15" x14ac:dyDescent="0.25">
      <c r="A796" t="s">
        <v>1950</v>
      </c>
      <c r="B796" t="s">
        <v>98</v>
      </c>
      <c r="C796">
        <v>2006</v>
      </c>
      <c r="D796" t="s">
        <v>27</v>
      </c>
      <c r="E796" t="s">
        <v>18</v>
      </c>
      <c r="F796" t="s">
        <v>1951</v>
      </c>
      <c r="G796">
        <v>700</v>
      </c>
      <c r="H796" t="s">
        <v>85</v>
      </c>
      <c r="I796" t="s">
        <v>151</v>
      </c>
      <c r="J796" t="s">
        <v>125</v>
      </c>
      <c r="K796" s="4">
        <v>15.47</v>
      </c>
      <c r="L796" t="s">
        <v>1952</v>
      </c>
      <c r="M796" s="1">
        <v>46934</v>
      </c>
      <c r="N796" t="s">
        <v>24</v>
      </c>
      <c r="O796" t="s">
        <v>25</v>
      </c>
    </row>
    <row r="797" spans="1:15" x14ac:dyDescent="0.25">
      <c r="A797" t="s">
        <v>1554</v>
      </c>
      <c r="B797" t="s">
        <v>138</v>
      </c>
      <c r="C797">
        <v>2004</v>
      </c>
      <c r="D797" t="s">
        <v>71</v>
      </c>
      <c r="E797" t="s">
        <v>54</v>
      </c>
      <c r="F797" t="s">
        <v>139</v>
      </c>
      <c r="G797">
        <v>970</v>
      </c>
      <c r="H797" t="s">
        <v>47</v>
      </c>
      <c r="I797" t="s">
        <v>151</v>
      </c>
      <c r="J797" t="s">
        <v>125</v>
      </c>
      <c r="K797" s="4">
        <v>302.60000000000002</v>
      </c>
      <c r="L797" t="s">
        <v>1953</v>
      </c>
      <c r="M797" s="1">
        <v>46616</v>
      </c>
      <c r="N797" t="s">
        <v>75</v>
      </c>
      <c r="O797" t="s">
        <v>51</v>
      </c>
    </row>
    <row r="798" spans="1:15" x14ac:dyDescent="0.25">
      <c r="A798" t="s">
        <v>1954</v>
      </c>
      <c r="B798" t="s">
        <v>35</v>
      </c>
      <c r="C798">
        <v>2015</v>
      </c>
      <c r="D798" t="s">
        <v>27</v>
      </c>
      <c r="E798" t="s">
        <v>60</v>
      </c>
      <c r="F798" t="s">
        <v>1955</v>
      </c>
      <c r="G798">
        <v>360</v>
      </c>
      <c r="H798" t="s">
        <v>62</v>
      </c>
      <c r="I798" t="s">
        <v>86</v>
      </c>
      <c r="J798" t="s">
        <v>121</v>
      </c>
      <c r="K798" s="4">
        <v>296.93</v>
      </c>
      <c r="L798" t="s">
        <v>1956</v>
      </c>
      <c r="M798" s="1">
        <v>46259</v>
      </c>
      <c r="N798" t="s">
        <v>41</v>
      </c>
      <c r="O798" t="s">
        <v>51</v>
      </c>
    </row>
    <row r="799" spans="1:15" x14ac:dyDescent="0.25">
      <c r="A799" t="s">
        <v>1957</v>
      </c>
      <c r="B799" t="s">
        <v>138</v>
      </c>
      <c r="C799">
        <v>1994</v>
      </c>
      <c r="D799" t="s">
        <v>36</v>
      </c>
      <c r="E799" t="s">
        <v>116</v>
      </c>
      <c r="F799" t="s">
        <v>145</v>
      </c>
      <c r="G799">
        <v>790</v>
      </c>
      <c r="H799" t="s">
        <v>20</v>
      </c>
      <c r="I799" t="s">
        <v>80</v>
      </c>
      <c r="J799" t="s">
        <v>49</v>
      </c>
      <c r="K799" s="4">
        <v>365.61</v>
      </c>
      <c r="L799" t="s">
        <v>1958</v>
      </c>
      <c r="M799" s="1">
        <v>46677</v>
      </c>
      <c r="N799" t="s">
        <v>41</v>
      </c>
      <c r="O799" t="s">
        <v>25</v>
      </c>
    </row>
    <row r="800" spans="1:15" x14ac:dyDescent="0.25">
      <c r="A800" t="s">
        <v>1959</v>
      </c>
      <c r="B800" t="s">
        <v>35</v>
      </c>
      <c r="C800">
        <v>2018</v>
      </c>
      <c r="D800" t="s">
        <v>17</v>
      </c>
      <c r="E800" t="s">
        <v>119</v>
      </c>
      <c r="F800" t="s">
        <v>244</v>
      </c>
      <c r="G800">
        <v>980</v>
      </c>
      <c r="H800" t="s">
        <v>85</v>
      </c>
      <c r="I800" t="s">
        <v>86</v>
      </c>
      <c r="J800" t="s">
        <v>31</v>
      </c>
      <c r="K800" s="4">
        <v>7.19</v>
      </c>
      <c r="L800" t="s">
        <v>1960</v>
      </c>
      <c r="M800" s="1">
        <v>46663</v>
      </c>
      <c r="N800" t="s">
        <v>75</v>
      </c>
      <c r="O800" t="s">
        <v>33</v>
      </c>
    </row>
    <row r="801" spans="1:15" x14ac:dyDescent="0.25">
      <c r="A801" t="s">
        <v>1961</v>
      </c>
      <c r="B801" t="s">
        <v>98</v>
      </c>
      <c r="C801">
        <v>2002</v>
      </c>
      <c r="D801" t="s">
        <v>89</v>
      </c>
      <c r="E801" t="s">
        <v>45</v>
      </c>
      <c r="F801" t="s">
        <v>1962</v>
      </c>
      <c r="G801">
        <v>500</v>
      </c>
      <c r="H801" t="s">
        <v>20</v>
      </c>
      <c r="I801" t="s">
        <v>30</v>
      </c>
      <c r="J801" t="s">
        <v>101</v>
      </c>
      <c r="K801" s="4">
        <v>428.86</v>
      </c>
      <c r="L801" t="s">
        <v>1963</v>
      </c>
      <c r="M801" s="1">
        <v>46171</v>
      </c>
      <c r="N801" t="s">
        <v>41</v>
      </c>
      <c r="O801" t="s">
        <v>51</v>
      </c>
    </row>
    <row r="802" spans="1:15" x14ac:dyDescent="0.25">
      <c r="A802" t="s">
        <v>1964</v>
      </c>
      <c r="B802" t="s">
        <v>98</v>
      </c>
      <c r="C802">
        <v>1999</v>
      </c>
      <c r="D802" t="s">
        <v>44</v>
      </c>
      <c r="E802" t="s">
        <v>72</v>
      </c>
      <c r="F802" t="s">
        <v>1965</v>
      </c>
      <c r="G802">
        <v>10</v>
      </c>
      <c r="H802" t="s">
        <v>20</v>
      </c>
      <c r="I802" t="s">
        <v>80</v>
      </c>
      <c r="J802" t="s">
        <v>63</v>
      </c>
      <c r="K802" s="4">
        <v>408.63</v>
      </c>
      <c r="L802" t="s">
        <v>1966</v>
      </c>
      <c r="M802" s="1">
        <v>46890</v>
      </c>
      <c r="N802" t="s">
        <v>41</v>
      </c>
      <c r="O802" t="s">
        <v>33</v>
      </c>
    </row>
    <row r="803" spans="1:15" x14ac:dyDescent="0.25">
      <c r="A803" t="s">
        <v>1967</v>
      </c>
      <c r="B803" t="s">
        <v>53</v>
      </c>
      <c r="C803">
        <v>2017</v>
      </c>
      <c r="D803" t="s">
        <v>95</v>
      </c>
      <c r="E803" t="s">
        <v>119</v>
      </c>
      <c r="F803" t="s">
        <v>1951</v>
      </c>
      <c r="G803">
        <v>90</v>
      </c>
      <c r="H803" t="s">
        <v>29</v>
      </c>
      <c r="I803" t="s">
        <v>186</v>
      </c>
      <c r="J803" t="s">
        <v>63</v>
      </c>
      <c r="K803" s="4">
        <v>33.69</v>
      </c>
      <c r="L803" t="s">
        <v>1968</v>
      </c>
      <c r="M803" s="1">
        <v>46692</v>
      </c>
      <c r="N803" t="s">
        <v>24</v>
      </c>
      <c r="O803" t="s">
        <v>33</v>
      </c>
    </row>
    <row r="804" spans="1:15" x14ac:dyDescent="0.25">
      <c r="A804" t="s">
        <v>1969</v>
      </c>
      <c r="B804" t="s">
        <v>77</v>
      </c>
      <c r="C804">
        <v>1994</v>
      </c>
      <c r="D804" t="s">
        <v>89</v>
      </c>
      <c r="E804" t="s">
        <v>18</v>
      </c>
      <c r="F804" t="s">
        <v>1412</v>
      </c>
      <c r="G804">
        <v>260</v>
      </c>
      <c r="H804" t="s">
        <v>47</v>
      </c>
      <c r="I804" t="s">
        <v>73</v>
      </c>
      <c r="J804" t="s">
        <v>146</v>
      </c>
      <c r="K804" s="4">
        <v>331.47</v>
      </c>
      <c r="L804" t="s">
        <v>1970</v>
      </c>
      <c r="M804" s="1">
        <v>46430</v>
      </c>
      <c r="N804" t="s">
        <v>41</v>
      </c>
      <c r="O804" t="s">
        <v>33</v>
      </c>
    </row>
    <row r="805" spans="1:15" x14ac:dyDescent="0.25">
      <c r="A805" t="s">
        <v>1971</v>
      </c>
      <c r="B805" t="s">
        <v>77</v>
      </c>
      <c r="C805">
        <v>2019</v>
      </c>
      <c r="D805" t="s">
        <v>89</v>
      </c>
      <c r="E805" t="s">
        <v>45</v>
      </c>
      <c r="F805" t="s">
        <v>28</v>
      </c>
      <c r="G805">
        <v>120</v>
      </c>
      <c r="H805" t="s">
        <v>85</v>
      </c>
      <c r="I805" t="s">
        <v>39</v>
      </c>
      <c r="J805" t="s">
        <v>146</v>
      </c>
      <c r="K805" s="4">
        <v>461.18</v>
      </c>
      <c r="L805" t="s">
        <v>1972</v>
      </c>
      <c r="M805" s="1">
        <v>46824</v>
      </c>
      <c r="N805" t="s">
        <v>41</v>
      </c>
      <c r="O805" t="s">
        <v>25</v>
      </c>
    </row>
    <row r="806" spans="1:15" x14ac:dyDescent="0.25">
      <c r="A806" t="s">
        <v>1973</v>
      </c>
      <c r="B806" t="s">
        <v>98</v>
      </c>
      <c r="C806">
        <v>2000</v>
      </c>
      <c r="D806" t="s">
        <v>108</v>
      </c>
      <c r="E806" t="s">
        <v>116</v>
      </c>
      <c r="F806" t="s">
        <v>1974</v>
      </c>
      <c r="G806">
        <v>460</v>
      </c>
      <c r="H806" t="s">
        <v>47</v>
      </c>
      <c r="I806" t="s">
        <v>80</v>
      </c>
      <c r="J806" t="s">
        <v>49</v>
      </c>
      <c r="K806" s="4">
        <v>394.7</v>
      </c>
      <c r="L806" t="s">
        <v>1975</v>
      </c>
      <c r="M806" s="1">
        <v>46227</v>
      </c>
      <c r="N806" t="s">
        <v>24</v>
      </c>
      <c r="O806" t="s">
        <v>25</v>
      </c>
    </row>
    <row r="807" spans="1:15" x14ac:dyDescent="0.25">
      <c r="A807" t="s">
        <v>1976</v>
      </c>
      <c r="B807" t="s">
        <v>16</v>
      </c>
      <c r="C807">
        <v>2023</v>
      </c>
      <c r="D807" t="s">
        <v>89</v>
      </c>
      <c r="E807" t="s">
        <v>54</v>
      </c>
      <c r="F807" t="s">
        <v>250</v>
      </c>
      <c r="G807">
        <v>170</v>
      </c>
      <c r="H807" t="s">
        <v>29</v>
      </c>
      <c r="I807" t="s">
        <v>30</v>
      </c>
      <c r="J807" t="s">
        <v>49</v>
      </c>
      <c r="K807" s="4">
        <v>17.22</v>
      </c>
      <c r="L807" t="s">
        <v>1977</v>
      </c>
      <c r="M807" s="1">
        <v>46234</v>
      </c>
      <c r="N807" t="s">
        <v>41</v>
      </c>
      <c r="O807" t="s">
        <v>25</v>
      </c>
    </row>
    <row r="808" spans="1:15" x14ac:dyDescent="0.25">
      <c r="A808" t="s">
        <v>1978</v>
      </c>
      <c r="B808" t="s">
        <v>59</v>
      </c>
      <c r="C808">
        <v>2010</v>
      </c>
      <c r="D808" t="s">
        <v>44</v>
      </c>
      <c r="E808" t="s">
        <v>60</v>
      </c>
      <c r="F808" t="s">
        <v>470</v>
      </c>
      <c r="G808">
        <v>970</v>
      </c>
      <c r="H808" t="s">
        <v>38</v>
      </c>
      <c r="I808" t="s">
        <v>30</v>
      </c>
      <c r="J808" t="s">
        <v>22</v>
      </c>
      <c r="K808" s="4">
        <v>323.61</v>
      </c>
      <c r="L808" t="s">
        <v>1979</v>
      </c>
      <c r="M808" s="1">
        <v>46109</v>
      </c>
      <c r="N808" t="s">
        <v>75</v>
      </c>
      <c r="O808" t="s">
        <v>51</v>
      </c>
    </row>
    <row r="809" spans="1:15" x14ac:dyDescent="0.25">
      <c r="A809" t="s">
        <v>1980</v>
      </c>
      <c r="B809" t="s">
        <v>70</v>
      </c>
      <c r="C809">
        <v>1990</v>
      </c>
      <c r="D809" t="s">
        <v>17</v>
      </c>
      <c r="E809" t="s">
        <v>60</v>
      </c>
      <c r="F809" t="s">
        <v>180</v>
      </c>
      <c r="G809">
        <v>910</v>
      </c>
      <c r="H809" t="s">
        <v>85</v>
      </c>
      <c r="I809" t="s">
        <v>80</v>
      </c>
      <c r="J809" t="s">
        <v>125</v>
      </c>
      <c r="K809" s="4">
        <v>122.42</v>
      </c>
      <c r="L809" t="s">
        <v>1981</v>
      </c>
      <c r="M809" s="1">
        <v>46066</v>
      </c>
      <c r="N809" t="s">
        <v>75</v>
      </c>
      <c r="O809" t="s">
        <v>51</v>
      </c>
    </row>
    <row r="810" spans="1:15" x14ac:dyDescent="0.25">
      <c r="A810" t="s">
        <v>1982</v>
      </c>
      <c r="B810" t="s">
        <v>77</v>
      </c>
      <c r="C810">
        <v>1999</v>
      </c>
      <c r="D810" t="s">
        <v>89</v>
      </c>
      <c r="E810" t="s">
        <v>99</v>
      </c>
      <c r="F810" t="s">
        <v>1983</v>
      </c>
      <c r="G810">
        <v>230</v>
      </c>
      <c r="H810" t="s">
        <v>38</v>
      </c>
      <c r="I810" t="s">
        <v>86</v>
      </c>
      <c r="J810" t="s">
        <v>101</v>
      </c>
      <c r="K810" s="4">
        <v>185.38</v>
      </c>
      <c r="L810" t="s">
        <v>1984</v>
      </c>
      <c r="M810" s="1">
        <v>45944</v>
      </c>
      <c r="N810" t="s">
        <v>24</v>
      </c>
      <c r="O810" t="s">
        <v>25</v>
      </c>
    </row>
    <row r="811" spans="1:15" x14ac:dyDescent="0.25">
      <c r="A811" t="s">
        <v>1985</v>
      </c>
      <c r="B811" t="s">
        <v>43</v>
      </c>
      <c r="C811">
        <v>1996</v>
      </c>
      <c r="D811" t="s">
        <v>83</v>
      </c>
      <c r="E811" t="s">
        <v>45</v>
      </c>
      <c r="F811" t="s">
        <v>642</v>
      </c>
      <c r="G811">
        <v>60</v>
      </c>
      <c r="H811" t="s">
        <v>56</v>
      </c>
      <c r="I811" t="s">
        <v>186</v>
      </c>
      <c r="J811" t="s">
        <v>92</v>
      </c>
      <c r="K811" s="4">
        <v>286.83</v>
      </c>
      <c r="L811" t="s">
        <v>1986</v>
      </c>
      <c r="M811" s="1">
        <v>46327</v>
      </c>
      <c r="N811" t="s">
        <v>75</v>
      </c>
      <c r="O811" t="s">
        <v>51</v>
      </c>
    </row>
    <row r="812" spans="1:15" x14ac:dyDescent="0.25">
      <c r="A812" t="s">
        <v>1987</v>
      </c>
      <c r="B812" t="s">
        <v>16</v>
      </c>
      <c r="C812">
        <v>1998</v>
      </c>
      <c r="D812" t="s">
        <v>108</v>
      </c>
      <c r="E812" t="s">
        <v>104</v>
      </c>
      <c r="F812" t="s">
        <v>124</v>
      </c>
      <c r="G812">
        <v>740</v>
      </c>
      <c r="H812" t="s">
        <v>29</v>
      </c>
      <c r="I812" t="s">
        <v>30</v>
      </c>
      <c r="J812" t="s">
        <v>146</v>
      </c>
      <c r="K812" s="4">
        <v>298.8</v>
      </c>
      <c r="L812" t="s">
        <v>1988</v>
      </c>
      <c r="M812" s="1">
        <v>46782</v>
      </c>
      <c r="N812" t="s">
        <v>41</v>
      </c>
      <c r="O812" t="s">
        <v>33</v>
      </c>
    </row>
    <row r="813" spans="1:15" x14ac:dyDescent="0.25">
      <c r="A813" t="s">
        <v>1989</v>
      </c>
      <c r="B813" t="s">
        <v>53</v>
      </c>
      <c r="C813">
        <v>2012</v>
      </c>
      <c r="D813" t="s">
        <v>66</v>
      </c>
      <c r="E813" t="s">
        <v>72</v>
      </c>
      <c r="F813" t="s">
        <v>1990</v>
      </c>
      <c r="G813">
        <v>350</v>
      </c>
      <c r="H813" t="s">
        <v>56</v>
      </c>
      <c r="I813" t="s">
        <v>21</v>
      </c>
      <c r="J813" t="s">
        <v>49</v>
      </c>
      <c r="K813" s="4">
        <v>36.76</v>
      </c>
      <c r="L813" t="s">
        <v>1991</v>
      </c>
      <c r="M813" s="1">
        <v>46410</v>
      </c>
      <c r="N813" t="s">
        <v>24</v>
      </c>
      <c r="O813" t="s">
        <v>25</v>
      </c>
    </row>
    <row r="814" spans="1:15" x14ac:dyDescent="0.25">
      <c r="A814" t="s">
        <v>1992</v>
      </c>
      <c r="B814" t="s">
        <v>77</v>
      </c>
      <c r="C814">
        <v>2005</v>
      </c>
      <c r="D814" t="s">
        <v>27</v>
      </c>
      <c r="E814" t="s">
        <v>116</v>
      </c>
      <c r="F814" t="s">
        <v>145</v>
      </c>
      <c r="G814">
        <v>90</v>
      </c>
      <c r="H814" t="s">
        <v>20</v>
      </c>
      <c r="I814" t="s">
        <v>39</v>
      </c>
      <c r="J814" t="s">
        <v>125</v>
      </c>
      <c r="K814" s="4">
        <v>156.71</v>
      </c>
      <c r="L814" t="s">
        <v>1993</v>
      </c>
      <c r="M814" s="1">
        <v>46714</v>
      </c>
      <c r="N814" t="s">
        <v>75</v>
      </c>
      <c r="O814" t="s">
        <v>51</v>
      </c>
    </row>
    <row r="815" spans="1:15" x14ac:dyDescent="0.25">
      <c r="A815" t="s">
        <v>1994</v>
      </c>
      <c r="B815" t="s">
        <v>53</v>
      </c>
      <c r="C815">
        <v>1990</v>
      </c>
      <c r="D815" t="s">
        <v>36</v>
      </c>
      <c r="E815" t="s">
        <v>99</v>
      </c>
      <c r="F815" t="s">
        <v>180</v>
      </c>
      <c r="G815">
        <v>390</v>
      </c>
      <c r="H815" t="s">
        <v>29</v>
      </c>
      <c r="I815" t="s">
        <v>91</v>
      </c>
      <c r="J815" t="s">
        <v>125</v>
      </c>
      <c r="K815" s="4">
        <v>360.66</v>
      </c>
      <c r="L815" t="s">
        <v>1995</v>
      </c>
      <c r="M815" s="1">
        <v>46007</v>
      </c>
      <c r="N815" t="s">
        <v>24</v>
      </c>
      <c r="O815" t="s">
        <v>51</v>
      </c>
    </row>
    <row r="816" spans="1:15" x14ac:dyDescent="0.25">
      <c r="A816" t="s">
        <v>1996</v>
      </c>
      <c r="B816" t="s">
        <v>70</v>
      </c>
      <c r="C816">
        <v>1996</v>
      </c>
      <c r="D816" t="s">
        <v>89</v>
      </c>
      <c r="E816" t="s">
        <v>116</v>
      </c>
      <c r="F816" t="s">
        <v>220</v>
      </c>
      <c r="G816">
        <v>240</v>
      </c>
      <c r="H816" t="s">
        <v>29</v>
      </c>
      <c r="I816" t="s">
        <v>48</v>
      </c>
      <c r="J816" t="s">
        <v>125</v>
      </c>
      <c r="K816" s="4">
        <v>184.68</v>
      </c>
      <c r="L816" t="s">
        <v>1997</v>
      </c>
      <c r="M816" s="1">
        <v>46467</v>
      </c>
      <c r="N816" t="s">
        <v>75</v>
      </c>
      <c r="O816" t="s">
        <v>33</v>
      </c>
    </row>
    <row r="817" spans="1:15" x14ac:dyDescent="0.25">
      <c r="A817" t="s">
        <v>1998</v>
      </c>
      <c r="B817" t="s">
        <v>53</v>
      </c>
      <c r="C817">
        <v>2014</v>
      </c>
      <c r="D817" t="s">
        <v>17</v>
      </c>
      <c r="E817" t="s">
        <v>99</v>
      </c>
      <c r="F817" t="s">
        <v>67</v>
      </c>
      <c r="G817">
        <v>150</v>
      </c>
      <c r="H817" t="s">
        <v>29</v>
      </c>
      <c r="I817" t="s">
        <v>39</v>
      </c>
      <c r="J817" t="s">
        <v>110</v>
      </c>
      <c r="K817" s="4">
        <v>104.4</v>
      </c>
      <c r="L817" t="s">
        <v>1999</v>
      </c>
      <c r="M817" s="1">
        <v>45943</v>
      </c>
      <c r="N817" t="s">
        <v>41</v>
      </c>
      <c r="O817" t="s">
        <v>51</v>
      </c>
    </row>
    <row r="818" spans="1:15" x14ac:dyDescent="0.25">
      <c r="A818" t="s">
        <v>2000</v>
      </c>
      <c r="B818" t="s">
        <v>70</v>
      </c>
      <c r="C818">
        <v>2010</v>
      </c>
      <c r="D818" t="s">
        <v>44</v>
      </c>
      <c r="E818" t="s">
        <v>72</v>
      </c>
      <c r="F818" t="s">
        <v>79</v>
      </c>
      <c r="G818">
        <v>780</v>
      </c>
      <c r="H818" t="s">
        <v>20</v>
      </c>
      <c r="I818" t="s">
        <v>91</v>
      </c>
      <c r="J818" t="s">
        <v>121</v>
      </c>
      <c r="K818" s="4">
        <v>343.93</v>
      </c>
      <c r="L818" t="s">
        <v>2001</v>
      </c>
      <c r="M818" s="1">
        <v>46263</v>
      </c>
      <c r="N818" t="s">
        <v>41</v>
      </c>
      <c r="O818" t="s">
        <v>33</v>
      </c>
    </row>
    <row r="819" spans="1:15" x14ac:dyDescent="0.25">
      <c r="A819" t="s">
        <v>2002</v>
      </c>
      <c r="B819" t="s">
        <v>138</v>
      </c>
      <c r="C819">
        <v>2006</v>
      </c>
      <c r="D819" t="s">
        <v>95</v>
      </c>
      <c r="E819" t="s">
        <v>116</v>
      </c>
      <c r="F819" t="s">
        <v>1002</v>
      </c>
      <c r="G819">
        <v>690</v>
      </c>
      <c r="H819" t="s">
        <v>56</v>
      </c>
      <c r="I819" t="s">
        <v>80</v>
      </c>
      <c r="J819" t="s">
        <v>146</v>
      </c>
      <c r="K819" s="4">
        <v>360.76</v>
      </c>
      <c r="L819" t="s">
        <v>2003</v>
      </c>
      <c r="M819" s="1">
        <v>46536</v>
      </c>
      <c r="N819" t="s">
        <v>75</v>
      </c>
      <c r="O819" t="s">
        <v>25</v>
      </c>
    </row>
    <row r="820" spans="1:15" x14ac:dyDescent="0.25">
      <c r="A820" t="s">
        <v>2004</v>
      </c>
      <c r="B820" t="s">
        <v>98</v>
      </c>
      <c r="C820">
        <v>1992</v>
      </c>
      <c r="D820" t="s">
        <v>71</v>
      </c>
      <c r="E820" t="s">
        <v>99</v>
      </c>
      <c r="F820" t="s">
        <v>513</v>
      </c>
      <c r="G820">
        <v>860</v>
      </c>
      <c r="H820" t="s">
        <v>47</v>
      </c>
      <c r="I820" t="s">
        <v>186</v>
      </c>
      <c r="J820" t="s">
        <v>121</v>
      </c>
      <c r="K820" s="4">
        <v>166.49</v>
      </c>
      <c r="L820" t="s">
        <v>2005</v>
      </c>
      <c r="M820" s="1">
        <v>46584</v>
      </c>
      <c r="N820" t="s">
        <v>75</v>
      </c>
      <c r="O820" t="s">
        <v>33</v>
      </c>
    </row>
    <row r="821" spans="1:15" x14ac:dyDescent="0.25">
      <c r="A821" t="s">
        <v>2006</v>
      </c>
      <c r="B821" t="s">
        <v>53</v>
      </c>
      <c r="C821">
        <v>2010</v>
      </c>
      <c r="D821" t="s">
        <v>83</v>
      </c>
      <c r="E821" t="s">
        <v>54</v>
      </c>
      <c r="F821" t="s">
        <v>513</v>
      </c>
      <c r="G821">
        <v>230</v>
      </c>
      <c r="H821" t="s">
        <v>85</v>
      </c>
      <c r="I821" t="s">
        <v>186</v>
      </c>
      <c r="J821" t="s">
        <v>49</v>
      </c>
      <c r="K821" s="4">
        <v>200.84</v>
      </c>
      <c r="L821" t="s">
        <v>2007</v>
      </c>
      <c r="M821" s="1">
        <v>46772</v>
      </c>
      <c r="N821" t="s">
        <v>75</v>
      </c>
      <c r="O821" t="s">
        <v>51</v>
      </c>
    </row>
    <row r="822" spans="1:15" x14ac:dyDescent="0.25">
      <c r="A822" t="s">
        <v>1590</v>
      </c>
      <c r="B822" t="s">
        <v>59</v>
      </c>
      <c r="C822">
        <v>2016</v>
      </c>
      <c r="D822" t="s">
        <v>89</v>
      </c>
      <c r="E822" t="s">
        <v>119</v>
      </c>
      <c r="F822" t="s">
        <v>67</v>
      </c>
      <c r="G822">
        <v>600</v>
      </c>
      <c r="H822" t="s">
        <v>29</v>
      </c>
      <c r="I822" t="s">
        <v>21</v>
      </c>
      <c r="J822" t="s">
        <v>110</v>
      </c>
      <c r="K822" s="4">
        <v>42.74</v>
      </c>
      <c r="L822" t="s">
        <v>2008</v>
      </c>
      <c r="M822" s="1">
        <v>46906</v>
      </c>
      <c r="N822" t="s">
        <v>41</v>
      </c>
      <c r="O822" t="s">
        <v>25</v>
      </c>
    </row>
    <row r="823" spans="1:15" x14ac:dyDescent="0.25">
      <c r="A823" t="s">
        <v>2009</v>
      </c>
      <c r="B823" t="s">
        <v>35</v>
      </c>
      <c r="C823">
        <v>1992</v>
      </c>
      <c r="D823" t="s">
        <v>44</v>
      </c>
      <c r="E823" t="s">
        <v>78</v>
      </c>
      <c r="F823" t="s">
        <v>1242</v>
      </c>
      <c r="G823">
        <v>910</v>
      </c>
      <c r="H823" t="s">
        <v>56</v>
      </c>
      <c r="I823" t="s">
        <v>73</v>
      </c>
      <c r="J823" t="s">
        <v>101</v>
      </c>
      <c r="K823" s="4">
        <v>304.35000000000002</v>
      </c>
      <c r="L823" t="s">
        <v>2010</v>
      </c>
      <c r="M823" s="1">
        <v>46561</v>
      </c>
      <c r="N823" t="s">
        <v>75</v>
      </c>
      <c r="O823" t="s">
        <v>33</v>
      </c>
    </row>
    <row r="824" spans="1:15" x14ac:dyDescent="0.25">
      <c r="A824" t="s">
        <v>2011</v>
      </c>
      <c r="B824" t="s">
        <v>134</v>
      </c>
      <c r="C824">
        <v>1995</v>
      </c>
      <c r="D824" t="s">
        <v>89</v>
      </c>
      <c r="E824" t="s">
        <v>119</v>
      </c>
      <c r="F824" t="s">
        <v>808</v>
      </c>
      <c r="G824">
        <v>750</v>
      </c>
      <c r="H824" t="s">
        <v>85</v>
      </c>
      <c r="I824" t="s">
        <v>151</v>
      </c>
      <c r="J824" t="s">
        <v>92</v>
      </c>
      <c r="K824" s="4">
        <v>438.19</v>
      </c>
      <c r="L824" t="s">
        <v>2012</v>
      </c>
      <c r="M824" s="1">
        <v>46001</v>
      </c>
      <c r="N824" t="s">
        <v>24</v>
      </c>
      <c r="O824" t="s">
        <v>33</v>
      </c>
    </row>
    <row r="825" spans="1:15" x14ac:dyDescent="0.25">
      <c r="A825" t="s">
        <v>2013</v>
      </c>
      <c r="B825" t="s">
        <v>35</v>
      </c>
      <c r="C825">
        <v>2024</v>
      </c>
      <c r="D825" t="s">
        <v>27</v>
      </c>
      <c r="E825" t="s">
        <v>45</v>
      </c>
      <c r="F825" t="s">
        <v>145</v>
      </c>
      <c r="G825">
        <v>760</v>
      </c>
      <c r="H825" t="s">
        <v>62</v>
      </c>
      <c r="I825" t="s">
        <v>91</v>
      </c>
      <c r="J825" t="s">
        <v>110</v>
      </c>
      <c r="K825" s="4">
        <v>209.23</v>
      </c>
      <c r="L825" t="s">
        <v>2014</v>
      </c>
      <c r="M825" s="1">
        <v>46255</v>
      </c>
      <c r="N825" t="s">
        <v>41</v>
      </c>
      <c r="O825" t="s">
        <v>25</v>
      </c>
    </row>
    <row r="826" spans="1:15" x14ac:dyDescent="0.25">
      <c r="A826" t="s">
        <v>428</v>
      </c>
      <c r="B826" t="s">
        <v>138</v>
      </c>
      <c r="C826">
        <v>1992</v>
      </c>
      <c r="D826" t="s">
        <v>17</v>
      </c>
      <c r="E826" t="s">
        <v>119</v>
      </c>
      <c r="F826" t="s">
        <v>1793</v>
      </c>
      <c r="G826">
        <v>850</v>
      </c>
      <c r="H826" t="s">
        <v>85</v>
      </c>
      <c r="I826" t="s">
        <v>86</v>
      </c>
      <c r="J826" t="s">
        <v>22</v>
      </c>
      <c r="K826" s="4">
        <v>250.81</v>
      </c>
      <c r="L826" t="s">
        <v>2015</v>
      </c>
      <c r="M826" s="1">
        <v>46126</v>
      </c>
      <c r="N826" t="s">
        <v>75</v>
      </c>
      <c r="O826" t="s">
        <v>51</v>
      </c>
    </row>
    <row r="827" spans="1:15" x14ac:dyDescent="0.25">
      <c r="A827" t="s">
        <v>2016</v>
      </c>
      <c r="B827" t="s">
        <v>138</v>
      </c>
      <c r="C827">
        <v>2011</v>
      </c>
      <c r="D827" t="s">
        <v>95</v>
      </c>
      <c r="E827" t="s">
        <v>60</v>
      </c>
      <c r="F827" t="s">
        <v>28</v>
      </c>
      <c r="G827">
        <v>420</v>
      </c>
      <c r="H827" t="s">
        <v>38</v>
      </c>
      <c r="I827" t="s">
        <v>186</v>
      </c>
      <c r="J827" t="s">
        <v>146</v>
      </c>
      <c r="K827" s="4">
        <v>112.49</v>
      </c>
      <c r="L827" t="s">
        <v>2017</v>
      </c>
      <c r="M827" s="1">
        <v>46152</v>
      </c>
      <c r="N827" t="s">
        <v>41</v>
      </c>
      <c r="O827" t="s">
        <v>33</v>
      </c>
    </row>
    <row r="828" spans="1:15" x14ac:dyDescent="0.25">
      <c r="A828" t="s">
        <v>2018</v>
      </c>
      <c r="B828" t="s">
        <v>77</v>
      </c>
      <c r="C828">
        <v>2022</v>
      </c>
      <c r="D828" t="s">
        <v>27</v>
      </c>
      <c r="E828" t="s">
        <v>78</v>
      </c>
      <c r="F828" t="s">
        <v>635</v>
      </c>
      <c r="G828">
        <v>720</v>
      </c>
      <c r="H828" t="s">
        <v>20</v>
      </c>
      <c r="I828" t="s">
        <v>80</v>
      </c>
      <c r="J828" t="s">
        <v>22</v>
      </c>
      <c r="K828" s="4">
        <v>39.200000000000003</v>
      </c>
      <c r="L828" t="s">
        <v>2019</v>
      </c>
      <c r="M828" s="1">
        <v>46454</v>
      </c>
      <c r="N828" t="s">
        <v>41</v>
      </c>
      <c r="O828" t="s">
        <v>51</v>
      </c>
    </row>
    <row r="829" spans="1:15" x14ac:dyDescent="0.25">
      <c r="A829" t="s">
        <v>2020</v>
      </c>
      <c r="B829" t="s">
        <v>77</v>
      </c>
      <c r="C829">
        <v>2010</v>
      </c>
      <c r="D829" t="s">
        <v>89</v>
      </c>
      <c r="E829" t="s">
        <v>116</v>
      </c>
      <c r="F829" t="s">
        <v>67</v>
      </c>
      <c r="G829">
        <v>870</v>
      </c>
      <c r="H829" t="s">
        <v>62</v>
      </c>
      <c r="I829" t="s">
        <v>30</v>
      </c>
      <c r="J829" t="s">
        <v>49</v>
      </c>
      <c r="K829" s="4">
        <v>158.54</v>
      </c>
      <c r="L829" t="s">
        <v>2021</v>
      </c>
      <c r="M829" s="1">
        <v>46800</v>
      </c>
      <c r="N829" t="s">
        <v>41</v>
      </c>
      <c r="O829" t="s">
        <v>25</v>
      </c>
    </row>
    <row r="830" spans="1:15" x14ac:dyDescent="0.25">
      <c r="A830" t="s">
        <v>2022</v>
      </c>
      <c r="B830" t="s">
        <v>53</v>
      </c>
      <c r="C830">
        <v>1996</v>
      </c>
      <c r="D830" t="s">
        <v>71</v>
      </c>
      <c r="E830" t="s">
        <v>18</v>
      </c>
      <c r="F830" t="s">
        <v>381</v>
      </c>
      <c r="G830">
        <v>850</v>
      </c>
      <c r="H830" t="s">
        <v>62</v>
      </c>
      <c r="I830" t="s">
        <v>86</v>
      </c>
      <c r="J830" t="s">
        <v>125</v>
      </c>
      <c r="K830" s="4">
        <v>133.83000000000001</v>
      </c>
      <c r="L830" t="s">
        <v>2023</v>
      </c>
      <c r="M830" s="1">
        <v>46083</v>
      </c>
      <c r="N830" t="s">
        <v>75</v>
      </c>
      <c r="O830" t="s">
        <v>33</v>
      </c>
    </row>
    <row r="831" spans="1:15" x14ac:dyDescent="0.25">
      <c r="A831" t="s">
        <v>2024</v>
      </c>
      <c r="B831" t="s">
        <v>70</v>
      </c>
      <c r="C831">
        <v>2007</v>
      </c>
      <c r="D831" t="s">
        <v>27</v>
      </c>
      <c r="E831" t="s">
        <v>78</v>
      </c>
      <c r="F831" t="s">
        <v>2025</v>
      </c>
      <c r="G831">
        <v>520</v>
      </c>
      <c r="H831" t="s">
        <v>29</v>
      </c>
      <c r="I831" t="s">
        <v>39</v>
      </c>
      <c r="J831" t="s">
        <v>31</v>
      </c>
      <c r="K831" s="4">
        <v>470.14</v>
      </c>
      <c r="L831" t="s">
        <v>2026</v>
      </c>
      <c r="M831" s="1">
        <v>46635</v>
      </c>
      <c r="N831" t="s">
        <v>24</v>
      </c>
      <c r="O831" t="s">
        <v>33</v>
      </c>
    </row>
    <row r="832" spans="1:15" x14ac:dyDescent="0.25">
      <c r="A832" t="s">
        <v>2027</v>
      </c>
      <c r="B832" t="s">
        <v>138</v>
      </c>
      <c r="C832">
        <v>1993</v>
      </c>
      <c r="D832" t="s">
        <v>27</v>
      </c>
      <c r="E832" t="s">
        <v>54</v>
      </c>
      <c r="F832" t="s">
        <v>145</v>
      </c>
      <c r="G832">
        <v>850</v>
      </c>
      <c r="H832" t="s">
        <v>85</v>
      </c>
      <c r="I832" t="s">
        <v>39</v>
      </c>
      <c r="J832" t="s">
        <v>125</v>
      </c>
      <c r="K832" s="4">
        <v>309.25</v>
      </c>
      <c r="L832" t="s">
        <v>2028</v>
      </c>
      <c r="M832" s="1">
        <v>46831</v>
      </c>
      <c r="N832" t="s">
        <v>41</v>
      </c>
      <c r="O832" t="s">
        <v>51</v>
      </c>
    </row>
    <row r="833" spans="1:15" x14ac:dyDescent="0.25">
      <c r="A833" t="s">
        <v>2029</v>
      </c>
      <c r="B833" t="s">
        <v>43</v>
      </c>
      <c r="C833">
        <v>2011</v>
      </c>
      <c r="D833" t="s">
        <v>83</v>
      </c>
      <c r="E833" t="s">
        <v>60</v>
      </c>
      <c r="F833" t="s">
        <v>135</v>
      </c>
      <c r="G833">
        <v>830</v>
      </c>
      <c r="H833" t="s">
        <v>47</v>
      </c>
      <c r="I833" t="s">
        <v>151</v>
      </c>
      <c r="J833" t="s">
        <v>101</v>
      </c>
      <c r="K833" s="4">
        <v>315.07</v>
      </c>
      <c r="L833" t="s">
        <v>2030</v>
      </c>
      <c r="M833" s="1">
        <v>45995</v>
      </c>
      <c r="N833" t="s">
        <v>75</v>
      </c>
      <c r="O833" t="s">
        <v>51</v>
      </c>
    </row>
    <row r="834" spans="1:15" x14ac:dyDescent="0.25">
      <c r="A834" t="s">
        <v>2031</v>
      </c>
      <c r="B834" t="s">
        <v>16</v>
      </c>
      <c r="C834">
        <v>1995</v>
      </c>
      <c r="D834" t="s">
        <v>36</v>
      </c>
      <c r="E834" t="s">
        <v>119</v>
      </c>
      <c r="F834" t="s">
        <v>1744</v>
      </c>
      <c r="G834">
        <v>580</v>
      </c>
      <c r="H834" t="s">
        <v>56</v>
      </c>
      <c r="I834" t="s">
        <v>186</v>
      </c>
      <c r="J834" t="s">
        <v>92</v>
      </c>
      <c r="K834" s="4">
        <v>124.46</v>
      </c>
      <c r="L834" t="s">
        <v>2032</v>
      </c>
      <c r="M834" s="1">
        <v>46026</v>
      </c>
      <c r="N834" t="s">
        <v>75</v>
      </c>
      <c r="O834" t="s">
        <v>33</v>
      </c>
    </row>
    <row r="835" spans="1:15" x14ac:dyDescent="0.25">
      <c r="A835" t="s">
        <v>414</v>
      </c>
      <c r="B835" t="s">
        <v>53</v>
      </c>
      <c r="C835">
        <v>2020</v>
      </c>
      <c r="D835" t="s">
        <v>36</v>
      </c>
      <c r="E835" t="s">
        <v>54</v>
      </c>
      <c r="F835" t="s">
        <v>180</v>
      </c>
      <c r="G835">
        <v>310</v>
      </c>
      <c r="H835" t="s">
        <v>29</v>
      </c>
      <c r="I835" t="s">
        <v>86</v>
      </c>
      <c r="J835" t="s">
        <v>101</v>
      </c>
      <c r="K835" s="4">
        <v>346.66</v>
      </c>
      <c r="L835" t="s">
        <v>2033</v>
      </c>
      <c r="M835" s="1">
        <v>46204</v>
      </c>
      <c r="N835" t="s">
        <v>24</v>
      </c>
      <c r="O835" t="s">
        <v>33</v>
      </c>
    </row>
    <row r="836" spans="1:15" x14ac:dyDescent="0.25">
      <c r="A836" t="s">
        <v>2034</v>
      </c>
      <c r="B836" t="s">
        <v>138</v>
      </c>
      <c r="C836">
        <v>2001</v>
      </c>
      <c r="D836" t="s">
        <v>27</v>
      </c>
      <c r="E836" t="s">
        <v>18</v>
      </c>
      <c r="F836" t="s">
        <v>510</v>
      </c>
      <c r="G836">
        <v>720</v>
      </c>
      <c r="H836" t="s">
        <v>62</v>
      </c>
      <c r="I836" t="s">
        <v>80</v>
      </c>
      <c r="J836" t="s">
        <v>92</v>
      </c>
      <c r="K836" s="4">
        <v>389.86</v>
      </c>
      <c r="L836" t="s">
        <v>2035</v>
      </c>
      <c r="M836" s="1">
        <v>45953</v>
      </c>
      <c r="N836" t="s">
        <v>75</v>
      </c>
      <c r="O836" t="s">
        <v>51</v>
      </c>
    </row>
    <row r="837" spans="1:15" x14ac:dyDescent="0.25">
      <c r="A837" t="s">
        <v>2036</v>
      </c>
      <c r="B837" t="s">
        <v>35</v>
      </c>
      <c r="C837">
        <v>1995</v>
      </c>
      <c r="D837" t="s">
        <v>17</v>
      </c>
      <c r="E837" t="s">
        <v>99</v>
      </c>
      <c r="F837" t="s">
        <v>2037</v>
      </c>
      <c r="G837">
        <v>380</v>
      </c>
      <c r="H837" t="s">
        <v>62</v>
      </c>
      <c r="I837" t="s">
        <v>86</v>
      </c>
      <c r="J837" t="s">
        <v>31</v>
      </c>
      <c r="K837" s="4">
        <v>322.61</v>
      </c>
      <c r="L837" t="s">
        <v>2038</v>
      </c>
      <c r="M837" s="1">
        <v>46539</v>
      </c>
      <c r="N837" t="s">
        <v>41</v>
      </c>
      <c r="O837" t="s">
        <v>51</v>
      </c>
    </row>
    <row r="838" spans="1:15" x14ac:dyDescent="0.25">
      <c r="A838" t="s">
        <v>2039</v>
      </c>
      <c r="B838" t="s">
        <v>138</v>
      </c>
      <c r="C838">
        <v>2019</v>
      </c>
      <c r="D838" t="s">
        <v>17</v>
      </c>
      <c r="E838" t="s">
        <v>119</v>
      </c>
      <c r="F838" t="s">
        <v>236</v>
      </c>
      <c r="G838">
        <v>390</v>
      </c>
      <c r="H838" t="s">
        <v>85</v>
      </c>
      <c r="I838" t="s">
        <v>86</v>
      </c>
      <c r="J838" t="s">
        <v>63</v>
      </c>
      <c r="K838" s="4">
        <v>116.57</v>
      </c>
      <c r="L838" t="s">
        <v>2040</v>
      </c>
      <c r="M838" s="1">
        <v>46513</v>
      </c>
      <c r="N838" t="s">
        <v>75</v>
      </c>
      <c r="O838" t="s">
        <v>51</v>
      </c>
    </row>
    <row r="839" spans="1:15" x14ac:dyDescent="0.25">
      <c r="A839" t="s">
        <v>2041</v>
      </c>
      <c r="B839" t="s">
        <v>53</v>
      </c>
      <c r="C839">
        <v>2005</v>
      </c>
      <c r="D839" t="s">
        <v>89</v>
      </c>
      <c r="E839" t="s">
        <v>104</v>
      </c>
      <c r="F839" t="s">
        <v>2042</v>
      </c>
      <c r="G839">
        <v>440</v>
      </c>
      <c r="H839" t="s">
        <v>29</v>
      </c>
      <c r="I839" t="s">
        <v>91</v>
      </c>
      <c r="J839" t="s">
        <v>110</v>
      </c>
      <c r="K839" s="4">
        <v>154.93</v>
      </c>
      <c r="L839" t="s">
        <v>2043</v>
      </c>
      <c r="M839" s="1">
        <v>45956</v>
      </c>
      <c r="N839" t="s">
        <v>41</v>
      </c>
      <c r="O839" t="s">
        <v>33</v>
      </c>
    </row>
    <row r="840" spans="1:15" x14ac:dyDescent="0.25">
      <c r="A840" t="s">
        <v>2044</v>
      </c>
      <c r="B840" t="s">
        <v>138</v>
      </c>
      <c r="C840">
        <v>2009</v>
      </c>
      <c r="D840" t="s">
        <v>44</v>
      </c>
      <c r="E840" t="s">
        <v>99</v>
      </c>
      <c r="F840" t="s">
        <v>825</v>
      </c>
      <c r="G840">
        <v>380</v>
      </c>
      <c r="H840" t="s">
        <v>29</v>
      </c>
      <c r="I840" t="s">
        <v>30</v>
      </c>
      <c r="J840" t="s">
        <v>110</v>
      </c>
      <c r="K840" s="4">
        <v>111.2</v>
      </c>
      <c r="L840" t="s">
        <v>2045</v>
      </c>
      <c r="M840" s="1">
        <v>46797</v>
      </c>
      <c r="N840" t="s">
        <v>75</v>
      </c>
      <c r="O840" t="s">
        <v>25</v>
      </c>
    </row>
    <row r="841" spans="1:15" x14ac:dyDescent="0.25">
      <c r="A841" t="s">
        <v>2046</v>
      </c>
      <c r="B841" t="s">
        <v>53</v>
      </c>
      <c r="C841">
        <v>2016</v>
      </c>
      <c r="D841" t="s">
        <v>89</v>
      </c>
      <c r="E841" t="s">
        <v>104</v>
      </c>
      <c r="F841" t="s">
        <v>1216</v>
      </c>
      <c r="G841">
        <v>840</v>
      </c>
      <c r="H841" t="s">
        <v>20</v>
      </c>
      <c r="I841" t="s">
        <v>80</v>
      </c>
      <c r="J841" t="s">
        <v>121</v>
      </c>
      <c r="K841" s="4">
        <v>485.35</v>
      </c>
      <c r="L841" t="s">
        <v>2047</v>
      </c>
      <c r="M841" s="1">
        <v>46923</v>
      </c>
      <c r="N841" t="s">
        <v>41</v>
      </c>
      <c r="O841" t="s">
        <v>33</v>
      </c>
    </row>
    <row r="842" spans="1:15" x14ac:dyDescent="0.25">
      <c r="A842" t="s">
        <v>2048</v>
      </c>
      <c r="B842" t="s">
        <v>138</v>
      </c>
      <c r="C842">
        <v>2007</v>
      </c>
      <c r="D842" t="s">
        <v>83</v>
      </c>
      <c r="E842" t="s">
        <v>45</v>
      </c>
      <c r="F842" t="s">
        <v>205</v>
      </c>
      <c r="G842">
        <v>870</v>
      </c>
      <c r="H842" t="s">
        <v>20</v>
      </c>
      <c r="I842" t="s">
        <v>80</v>
      </c>
      <c r="J842" t="s">
        <v>110</v>
      </c>
      <c r="K842" s="4">
        <v>199.53</v>
      </c>
      <c r="L842" t="s">
        <v>2049</v>
      </c>
      <c r="M842" s="1">
        <v>45887</v>
      </c>
      <c r="N842" t="s">
        <v>24</v>
      </c>
      <c r="O842" t="s">
        <v>33</v>
      </c>
    </row>
    <row r="843" spans="1:15" x14ac:dyDescent="0.25">
      <c r="A843" t="s">
        <v>2050</v>
      </c>
      <c r="B843" t="s">
        <v>70</v>
      </c>
      <c r="C843">
        <v>2012</v>
      </c>
      <c r="D843" t="s">
        <v>27</v>
      </c>
      <c r="E843" t="s">
        <v>45</v>
      </c>
      <c r="F843" t="s">
        <v>2051</v>
      </c>
      <c r="G843">
        <v>500</v>
      </c>
      <c r="H843" t="s">
        <v>20</v>
      </c>
      <c r="I843" t="s">
        <v>186</v>
      </c>
      <c r="J843" t="s">
        <v>92</v>
      </c>
      <c r="K843" s="4">
        <v>186.09</v>
      </c>
      <c r="L843" t="s">
        <v>2052</v>
      </c>
      <c r="M843" s="1">
        <v>46188</v>
      </c>
      <c r="N843" t="s">
        <v>75</v>
      </c>
      <c r="O843" t="s">
        <v>51</v>
      </c>
    </row>
    <row r="844" spans="1:15" x14ac:dyDescent="0.25">
      <c r="A844" t="s">
        <v>2053</v>
      </c>
      <c r="B844" t="s">
        <v>59</v>
      </c>
      <c r="C844">
        <v>2021</v>
      </c>
      <c r="D844" t="s">
        <v>27</v>
      </c>
      <c r="E844" t="s">
        <v>54</v>
      </c>
      <c r="F844" t="s">
        <v>547</v>
      </c>
      <c r="G844">
        <v>70</v>
      </c>
      <c r="H844" t="s">
        <v>29</v>
      </c>
      <c r="I844" t="s">
        <v>91</v>
      </c>
      <c r="J844" t="s">
        <v>146</v>
      </c>
      <c r="K844" s="4">
        <v>447.96</v>
      </c>
      <c r="L844" t="s">
        <v>2054</v>
      </c>
      <c r="M844" s="1">
        <v>46176</v>
      </c>
      <c r="N844" t="s">
        <v>41</v>
      </c>
      <c r="O844" t="s">
        <v>25</v>
      </c>
    </row>
    <row r="845" spans="1:15" x14ac:dyDescent="0.25">
      <c r="A845" t="s">
        <v>2055</v>
      </c>
      <c r="B845" t="s">
        <v>59</v>
      </c>
      <c r="C845">
        <v>2017</v>
      </c>
      <c r="D845" t="s">
        <v>108</v>
      </c>
      <c r="E845" t="s">
        <v>78</v>
      </c>
      <c r="F845" t="s">
        <v>399</v>
      </c>
      <c r="G845">
        <v>910</v>
      </c>
      <c r="H845" t="s">
        <v>29</v>
      </c>
      <c r="I845" t="s">
        <v>73</v>
      </c>
      <c r="J845" t="s">
        <v>121</v>
      </c>
      <c r="K845" s="4">
        <v>272.61</v>
      </c>
      <c r="L845" t="s">
        <v>2056</v>
      </c>
      <c r="M845" s="1">
        <v>45971</v>
      </c>
      <c r="N845" t="s">
        <v>75</v>
      </c>
      <c r="O845" t="s">
        <v>25</v>
      </c>
    </row>
    <row r="846" spans="1:15" x14ac:dyDescent="0.25">
      <c r="A846" t="s">
        <v>2057</v>
      </c>
      <c r="B846" t="s">
        <v>16</v>
      </c>
      <c r="C846">
        <v>2023</v>
      </c>
      <c r="D846" t="s">
        <v>66</v>
      </c>
      <c r="E846" t="s">
        <v>60</v>
      </c>
      <c r="F846" t="s">
        <v>2058</v>
      </c>
      <c r="G846">
        <v>940</v>
      </c>
      <c r="H846" t="s">
        <v>62</v>
      </c>
      <c r="I846" t="s">
        <v>86</v>
      </c>
      <c r="J846" t="s">
        <v>101</v>
      </c>
      <c r="K846" s="4">
        <v>114.83</v>
      </c>
      <c r="L846" t="s">
        <v>2059</v>
      </c>
      <c r="M846" s="1">
        <v>46373</v>
      </c>
      <c r="N846" t="s">
        <v>75</v>
      </c>
      <c r="O846" t="s">
        <v>51</v>
      </c>
    </row>
    <row r="847" spans="1:15" x14ac:dyDescent="0.25">
      <c r="A847" t="s">
        <v>2060</v>
      </c>
      <c r="B847" t="s">
        <v>77</v>
      </c>
      <c r="C847">
        <v>1991</v>
      </c>
      <c r="D847" t="s">
        <v>89</v>
      </c>
      <c r="E847" t="s">
        <v>72</v>
      </c>
      <c r="F847" t="s">
        <v>1156</v>
      </c>
      <c r="G847">
        <v>230</v>
      </c>
      <c r="H847" t="s">
        <v>56</v>
      </c>
      <c r="I847" t="s">
        <v>91</v>
      </c>
      <c r="J847" t="s">
        <v>146</v>
      </c>
      <c r="K847" s="4">
        <v>208.88</v>
      </c>
      <c r="L847" t="s">
        <v>2061</v>
      </c>
      <c r="M847" s="1">
        <v>46098</v>
      </c>
      <c r="N847" t="s">
        <v>41</v>
      </c>
      <c r="O847" t="s">
        <v>25</v>
      </c>
    </row>
    <row r="848" spans="1:15" x14ac:dyDescent="0.25">
      <c r="A848" t="s">
        <v>2062</v>
      </c>
      <c r="B848" t="s">
        <v>43</v>
      </c>
      <c r="C848">
        <v>1996</v>
      </c>
      <c r="D848" t="s">
        <v>27</v>
      </c>
      <c r="E848" t="s">
        <v>99</v>
      </c>
      <c r="F848" t="s">
        <v>381</v>
      </c>
      <c r="G848">
        <v>500</v>
      </c>
      <c r="H848" t="s">
        <v>62</v>
      </c>
      <c r="I848" t="s">
        <v>80</v>
      </c>
      <c r="J848" t="s">
        <v>121</v>
      </c>
      <c r="K848" s="4">
        <v>332.64</v>
      </c>
      <c r="L848" t="s">
        <v>2063</v>
      </c>
      <c r="M848" s="1">
        <v>46600</v>
      </c>
      <c r="N848" t="s">
        <v>41</v>
      </c>
      <c r="O848" t="s">
        <v>25</v>
      </c>
    </row>
    <row r="849" spans="1:15" x14ac:dyDescent="0.25">
      <c r="A849" t="s">
        <v>2064</v>
      </c>
      <c r="B849" t="s">
        <v>59</v>
      </c>
      <c r="C849">
        <v>1990</v>
      </c>
      <c r="D849" t="s">
        <v>83</v>
      </c>
      <c r="E849" t="s">
        <v>99</v>
      </c>
      <c r="F849" t="s">
        <v>180</v>
      </c>
      <c r="G849">
        <v>390</v>
      </c>
      <c r="H849" t="s">
        <v>85</v>
      </c>
      <c r="I849" t="s">
        <v>91</v>
      </c>
      <c r="J849" t="s">
        <v>101</v>
      </c>
      <c r="K849" s="4">
        <v>392.16</v>
      </c>
      <c r="L849" t="s">
        <v>2065</v>
      </c>
      <c r="M849" s="1">
        <v>46000</v>
      </c>
      <c r="N849" t="s">
        <v>24</v>
      </c>
      <c r="O849" t="s">
        <v>25</v>
      </c>
    </row>
    <row r="850" spans="1:15" x14ac:dyDescent="0.25">
      <c r="A850" t="s">
        <v>2066</v>
      </c>
      <c r="B850" t="s">
        <v>35</v>
      </c>
      <c r="C850">
        <v>2005</v>
      </c>
      <c r="D850" t="s">
        <v>66</v>
      </c>
      <c r="E850" t="s">
        <v>18</v>
      </c>
      <c r="F850" t="s">
        <v>250</v>
      </c>
      <c r="G850">
        <v>630</v>
      </c>
      <c r="H850" t="s">
        <v>38</v>
      </c>
      <c r="I850" t="s">
        <v>91</v>
      </c>
      <c r="J850" t="s">
        <v>92</v>
      </c>
      <c r="K850" s="4">
        <v>338.62</v>
      </c>
      <c r="L850" t="s">
        <v>2067</v>
      </c>
      <c r="M850" s="1">
        <v>46821</v>
      </c>
      <c r="N850" t="s">
        <v>75</v>
      </c>
      <c r="O850" t="s">
        <v>33</v>
      </c>
    </row>
    <row r="851" spans="1:15" x14ac:dyDescent="0.25">
      <c r="A851" t="s">
        <v>2068</v>
      </c>
      <c r="B851" t="s">
        <v>53</v>
      </c>
      <c r="C851">
        <v>1991</v>
      </c>
      <c r="D851" t="s">
        <v>17</v>
      </c>
      <c r="E851" t="s">
        <v>18</v>
      </c>
      <c r="F851" t="s">
        <v>195</v>
      </c>
      <c r="G851">
        <v>530</v>
      </c>
      <c r="H851" t="s">
        <v>29</v>
      </c>
      <c r="I851" t="s">
        <v>73</v>
      </c>
      <c r="J851" t="s">
        <v>31</v>
      </c>
      <c r="K851" s="4">
        <v>224.55</v>
      </c>
      <c r="L851" t="s">
        <v>2069</v>
      </c>
      <c r="M851" s="1">
        <v>46078</v>
      </c>
      <c r="N851" t="s">
        <v>41</v>
      </c>
      <c r="O851" t="s">
        <v>25</v>
      </c>
    </row>
    <row r="852" spans="1:15" x14ac:dyDescent="0.25">
      <c r="A852" t="s">
        <v>2070</v>
      </c>
      <c r="B852" t="s">
        <v>98</v>
      </c>
      <c r="C852">
        <v>1996</v>
      </c>
      <c r="D852" t="s">
        <v>27</v>
      </c>
      <c r="E852" t="s">
        <v>54</v>
      </c>
      <c r="F852" t="s">
        <v>139</v>
      </c>
      <c r="G852">
        <v>590</v>
      </c>
      <c r="H852" t="s">
        <v>29</v>
      </c>
      <c r="I852" t="s">
        <v>73</v>
      </c>
      <c r="J852" t="s">
        <v>92</v>
      </c>
      <c r="K852" s="4">
        <v>435.79</v>
      </c>
      <c r="L852" t="s">
        <v>2071</v>
      </c>
      <c r="M852" s="1">
        <v>45989</v>
      </c>
      <c r="N852" t="s">
        <v>24</v>
      </c>
      <c r="O852" t="s">
        <v>51</v>
      </c>
    </row>
    <row r="853" spans="1:15" x14ac:dyDescent="0.25">
      <c r="A853" t="s">
        <v>2072</v>
      </c>
      <c r="B853" t="s">
        <v>138</v>
      </c>
      <c r="C853">
        <v>2008</v>
      </c>
      <c r="D853" t="s">
        <v>17</v>
      </c>
      <c r="E853" t="s">
        <v>60</v>
      </c>
      <c r="F853" t="s">
        <v>67</v>
      </c>
      <c r="G853">
        <v>520</v>
      </c>
      <c r="H853" t="s">
        <v>29</v>
      </c>
      <c r="I853" t="s">
        <v>151</v>
      </c>
      <c r="J853" t="s">
        <v>110</v>
      </c>
      <c r="K853" s="4">
        <v>151.91999999999999</v>
      </c>
      <c r="L853" t="s">
        <v>2073</v>
      </c>
      <c r="M853" s="1">
        <v>45900</v>
      </c>
      <c r="N853" t="s">
        <v>24</v>
      </c>
      <c r="O853" t="s">
        <v>51</v>
      </c>
    </row>
    <row r="854" spans="1:15" x14ac:dyDescent="0.25">
      <c r="A854" t="s">
        <v>2074</v>
      </c>
      <c r="B854" t="s">
        <v>70</v>
      </c>
      <c r="C854">
        <v>2024</v>
      </c>
      <c r="D854" t="s">
        <v>36</v>
      </c>
      <c r="E854" t="s">
        <v>54</v>
      </c>
      <c r="F854" t="s">
        <v>79</v>
      </c>
      <c r="G854">
        <v>240</v>
      </c>
      <c r="H854" t="s">
        <v>20</v>
      </c>
      <c r="I854" t="s">
        <v>21</v>
      </c>
      <c r="J854" t="s">
        <v>146</v>
      </c>
      <c r="K854" s="4">
        <v>269.83999999999997</v>
      </c>
      <c r="L854" t="s">
        <v>2075</v>
      </c>
      <c r="M854" s="1">
        <v>46402</v>
      </c>
      <c r="N854" t="s">
        <v>41</v>
      </c>
      <c r="O854" t="s">
        <v>25</v>
      </c>
    </row>
    <row r="855" spans="1:15" x14ac:dyDescent="0.25">
      <c r="A855" t="s">
        <v>2076</v>
      </c>
      <c r="B855" t="s">
        <v>77</v>
      </c>
      <c r="C855">
        <v>2020</v>
      </c>
      <c r="D855" t="s">
        <v>36</v>
      </c>
      <c r="E855" t="s">
        <v>119</v>
      </c>
      <c r="F855" t="s">
        <v>208</v>
      </c>
      <c r="G855">
        <v>910</v>
      </c>
      <c r="H855" t="s">
        <v>29</v>
      </c>
      <c r="I855" t="s">
        <v>39</v>
      </c>
      <c r="J855" t="s">
        <v>125</v>
      </c>
      <c r="K855" s="4">
        <v>215.92</v>
      </c>
      <c r="L855" t="s">
        <v>2077</v>
      </c>
      <c r="M855" s="1">
        <v>46624</v>
      </c>
      <c r="N855" t="s">
        <v>75</v>
      </c>
      <c r="O855" t="s">
        <v>25</v>
      </c>
    </row>
    <row r="856" spans="1:15" x14ac:dyDescent="0.25">
      <c r="A856" t="s">
        <v>2078</v>
      </c>
      <c r="B856" t="s">
        <v>134</v>
      </c>
      <c r="C856">
        <v>1995</v>
      </c>
      <c r="D856" t="s">
        <v>44</v>
      </c>
      <c r="E856" t="s">
        <v>116</v>
      </c>
      <c r="F856" t="s">
        <v>67</v>
      </c>
      <c r="G856">
        <v>460</v>
      </c>
      <c r="H856" t="s">
        <v>20</v>
      </c>
      <c r="I856" t="s">
        <v>91</v>
      </c>
      <c r="J856" t="s">
        <v>92</v>
      </c>
      <c r="K856" s="4">
        <v>164.19</v>
      </c>
      <c r="L856" t="s">
        <v>2079</v>
      </c>
      <c r="M856" s="1">
        <v>46785</v>
      </c>
      <c r="N856" t="s">
        <v>24</v>
      </c>
      <c r="O856" t="s">
        <v>51</v>
      </c>
    </row>
    <row r="857" spans="1:15" x14ac:dyDescent="0.25">
      <c r="A857" t="s">
        <v>2080</v>
      </c>
      <c r="B857" t="s">
        <v>70</v>
      </c>
      <c r="C857">
        <v>1999</v>
      </c>
      <c r="D857" t="s">
        <v>83</v>
      </c>
      <c r="E857" t="s">
        <v>72</v>
      </c>
      <c r="F857" t="s">
        <v>135</v>
      </c>
      <c r="G857">
        <v>480</v>
      </c>
      <c r="H857" t="s">
        <v>47</v>
      </c>
      <c r="I857" t="s">
        <v>39</v>
      </c>
      <c r="J857" t="s">
        <v>92</v>
      </c>
      <c r="K857" s="4">
        <v>309.27</v>
      </c>
      <c r="L857" t="s">
        <v>2081</v>
      </c>
      <c r="M857" s="1">
        <v>46531</v>
      </c>
      <c r="N857" t="s">
        <v>24</v>
      </c>
      <c r="O857" t="s">
        <v>33</v>
      </c>
    </row>
    <row r="858" spans="1:15" x14ac:dyDescent="0.25">
      <c r="A858" t="s">
        <v>2082</v>
      </c>
      <c r="B858" t="s">
        <v>59</v>
      </c>
      <c r="C858">
        <v>2010</v>
      </c>
      <c r="D858" t="s">
        <v>27</v>
      </c>
      <c r="E858" t="s">
        <v>18</v>
      </c>
      <c r="F858" t="s">
        <v>960</v>
      </c>
      <c r="G858">
        <v>380</v>
      </c>
      <c r="H858" t="s">
        <v>20</v>
      </c>
      <c r="I858" t="s">
        <v>73</v>
      </c>
      <c r="J858" t="s">
        <v>49</v>
      </c>
      <c r="K858" s="4">
        <v>246.58</v>
      </c>
      <c r="L858" t="s">
        <v>2083</v>
      </c>
      <c r="M858" s="1">
        <v>46735</v>
      </c>
      <c r="N858" t="s">
        <v>24</v>
      </c>
      <c r="O858" t="s">
        <v>51</v>
      </c>
    </row>
    <row r="859" spans="1:15" x14ac:dyDescent="0.25">
      <c r="A859" t="s">
        <v>2084</v>
      </c>
      <c r="B859" t="s">
        <v>43</v>
      </c>
      <c r="C859">
        <v>1994</v>
      </c>
      <c r="D859" t="s">
        <v>44</v>
      </c>
      <c r="E859" t="s">
        <v>104</v>
      </c>
      <c r="F859" t="s">
        <v>1265</v>
      </c>
      <c r="G859">
        <v>290</v>
      </c>
      <c r="H859" t="s">
        <v>47</v>
      </c>
      <c r="I859" t="s">
        <v>86</v>
      </c>
      <c r="J859" t="s">
        <v>92</v>
      </c>
      <c r="K859" s="4">
        <v>193.23</v>
      </c>
      <c r="L859" t="s">
        <v>2085</v>
      </c>
      <c r="M859" s="1">
        <v>46036</v>
      </c>
      <c r="N859" t="s">
        <v>41</v>
      </c>
      <c r="O859" t="s">
        <v>51</v>
      </c>
    </row>
    <row r="860" spans="1:15" x14ac:dyDescent="0.25">
      <c r="A860" t="s">
        <v>2086</v>
      </c>
      <c r="B860" t="s">
        <v>134</v>
      </c>
      <c r="C860">
        <v>2013</v>
      </c>
      <c r="D860" t="s">
        <v>44</v>
      </c>
      <c r="E860" t="s">
        <v>99</v>
      </c>
      <c r="F860" t="s">
        <v>162</v>
      </c>
      <c r="G860">
        <v>850</v>
      </c>
      <c r="H860" t="s">
        <v>29</v>
      </c>
      <c r="I860" t="s">
        <v>151</v>
      </c>
      <c r="J860" t="s">
        <v>110</v>
      </c>
      <c r="K860" s="4">
        <v>397.67</v>
      </c>
      <c r="L860" t="s">
        <v>2087</v>
      </c>
      <c r="M860" s="1">
        <v>46201</v>
      </c>
      <c r="N860" t="s">
        <v>75</v>
      </c>
      <c r="O860" t="s">
        <v>25</v>
      </c>
    </row>
    <row r="861" spans="1:15" x14ac:dyDescent="0.25">
      <c r="A861" t="s">
        <v>2088</v>
      </c>
      <c r="B861" t="s">
        <v>59</v>
      </c>
      <c r="C861">
        <v>2011</v>
      </c>
      <c r="D861" t="s">
        <v>108</v>
      </c>
      <c r="E861" t="s">
        <v>60</v>
      </c>
      <c r="F861" t="s">
        <v>994</v>
      </c>
      <c r="G861">
        <v>430</v>
      </c>
      <c r="H861" t="s">
        <v>38</v>
      </c>
      <c r="I861" t="s">
        <v>80</v>
      </c>
      <c r="J861" t="s">
        <v>31</v>
      </c>
      <c r="K861" s="4">
        <v>393.49</v>
      </c>
      <c r="L861" t="s">
        <v>2089</v>
      </c>
      <c r="M861" s="1">
        <v>46334</v>
      </c>
      <c r="N861" t="s">
        <v>75</v>
      </c>
      <c r="O861" t="s">
        <v>33</v>
      </c>
    </row>
    <row r="862" spans="1:15" x14ac:dyDescent="0.25">
      <c r="A862" t="s">
        <v>2090</v>
      </c>
      <c r="B862" t="s">
        <v>35</v>
      </c>
      <c r="C862">
        <v>1994</v>
      </c>
      <c r="D862" t="s">
        <v>95</v>
      </c>
      <c r="E862" t="s">
        <v>78</v>
      </c>
      <c r="F862" t="s">
        <v>490</v>
      </c>
      <c r="G862">
        <v>570</v>
      </c>
      <c r="H862" t="s">
        <v>38</v>
      </c>
      <c r="I862" t="s">
        <v>30</v>
      </c>
      <c r="J862" t="s">
        <v>22</v>
      </c>
      <c r="K862" s="4">
        <v>305.27</v>
      </c>
      <c r="L862" t="s">
        <v>2091</v>
      </c>
      <c r="M862" s="1">
        <v>46961</v>
      </c>
      <c r="N862" t="s">
        <v>75</v>
      </c>
      <c r="O862" t="s">
        <v>51</v>
      </c>
    </row>
    <row r="863" spans="1:15" x14ac:dyDescent="0.25">
      <c r="A863" t="s">
        <v>1746</v>
      </c>
      <c r="B863" t="s">
        <v>16</v>
      </c>
      <c r="C863">
        <v>2011</v>
      </c>
      <c r="D863" t="s">
        <v>108</v>
      </c>
      <c r="E863" t="s">
        <v>119</v>
      </c>
      <c r="F863" t="s">
        <v>90</v>
      </c>
      <c r="G863">
        <v>550</v>
      </c>
      <c r="H863" t="s">
        <v>38</v>
      </c>
      <c r="I863" t="s">
        <v>186</v>
      </c>
      <c r="J863" t="s">
        <v>49</v>
      </c>
      <c r="K863" s="4">
        <v>429.5</v>
      </c>
      <c r="L863" t="s">
        <v>2092</v>
      </c>
      <c r="M863" s="1">
        <v>46875</v>
      </c>
      <c r="N863" t="s">
        <v>75</v>
      </c>
      <c r="O863" t="s">
        <v>25</v>
      </c>
    </row>
    <row r="864" spans="1:15" x14ac:dyDescent="0.25">
      <c r="A864" t="s">
        <v>2093</v>
      </c>
      <c r="B864" t="s">
        <v>35</v>
      </c>
      <c r="C864">
        <v>2003</v>
      </c>
      <c r="D864" t="s">
        <v>89</v>
      </c>
      <c r="E864" t="s">
        <v>104</v>
      </c>
      <c r="F864" t="s">
        <v>145</v>
      </c>
      <c r="G864">
        <v>10</v>
      </c>
      <c r="H864" t="s">
        <v>38</v>
      </c>
      <c r="I864" t="s">
        <v>48</v>
      </c>
      <c r="J864" t="s">
        <v>101</v>
      </c>
      <c r="K864" s="4">
        <v>214.72</v>
      </c>
      <c r="L864" t="s">
        <v>2094</v>
      </c>
      <c r="M864" s="1">
        <v>46616</v>
      </c>
      <c r="N864" t="s">
        <v>24</v>
      </c>
      <c r="O864" t="s">
        <v>33</v>
      </c>
    </row>
    <row r="865" spans="1:15" x14ac:dyDescent="0.25">
      <c r="A865" t="s">
        <v>2095</v>
      </c>
      <c r="B865" t="s">
        <v>43</v>
      </c>
      <c r="C865">
        <v>2023</v>
      </c>
      <c r="D865" t="s">
        <v>108</v>
      </c>
      <c r="E865" t="s">
        <v>60</v>
      </c>
      <c r="F865" t="s">
        <v>185</v>
      </c>
      <c r="G865">
        <v>10</v>
      </c>
      <c r="H865" t="s">
        <v>47</v>
      </c>
      <c r="I865" t="s">
        <v>30</v>
      </c>
      <c r="J865" t="s">
        <v>31</v>
      </c>
      <c r="K865" s="4">
        <v>295.02</v>
      </c>
      <c r="L865" t="s">
        <v>2096</v>
      </c>
      <c r="M865" s="1">
        <v>45962</v>
      </c>
      <c r="N865" t="s">
        <v>41</v>
      </c>
      <c r="O865" t="s">
        <v>25</v>
      </c>
    </row>
    <row r="866" spans="1:15" x14ac:dyDescent="0.25">
      <c r="A866" t="s">
        <v>2097</v>
      </c>
      <c r="B866" t="s">
        <v>16</v>
      </c>
      <c r="C866">
        <v>2021</v>
      </c>
      <c r="D866" t="s">
        <v>66</v>
      </c>
      <c r="E866" t="s">
        <v>119</v>
      </c>
      <c r="F866" t="s">
        <v>1496</v>
      </c>
      <c r="G866">
        <v>640</v>
      </c>
      <c r="H866" t="s">
        <v>85</v>
      </c>
      <c r="I866" t="s">
        <v>73</v>
      </c>
      <c r="J866" t="s">
        <v>146</v>
      </c>
      <c r="K866" s="4">
        <v>363.03</v>
      </c>
      <c r="L866" t="s">
        <v>2098</v>
      </c>
      <c r="M866" s="1">
        <v>45917</v>
      </c>
      <c r="N866" t="s">
        <v>24</v>
      </c>
      <c r="O866" t="s">
        <v>25</v>
      </c>
    </row>
    <row r="867" spans="1:15" x14ac:dyDescent="0.25">
      <c r="A867" t="s">
        <v>1441</v>
      </c>
      <c r="B867" t="s">
        <v>98</v>
      </c>
      <c r="C867">
        <v>1993</v>
      </c>
      <c r="D867" t="s">
        <v>71</v>
      </c>
      <c r="E867" t="s">
        <v>72</v>
      </c>
      <c r="F867" t="s">
        <v>885</v>
      </c>
      <c r="G867">
        <v>430</v>
      </c>
      <c r="H867" t="s">
        <v>38</v>
      </c>
      <c r="I867" t="s">
        <v>86</v>
      </c>
      <c r="J867" t="s">
        <v>31</v>
      </c>
      <c r="K867" s="4">
        <v>390.61</v>
      </c>
      <c r="L867" t="s">
        <v>2099</v>
      </c>
      <c r="M867" s="1">
        <v>45989</v>
      </c>
      <c r="N867" t="s">
        <v>75</v>
      </c>
      <c r="O867" t="s">
        <v>25</v>
      </c>
    </row>
    <row r="868" spans="1:15" x14ac:dyDescent="0.25">
      <c r="A868" t="s">
        <v>2100</v>
      </c>
      <c r="B868" t="s">
        <v>138</v>
      </c>
      <c r="C868">
        <v>2023</v>
      </c>
      <c r="D868" t="s">
        <v>83</v>
      </c>
      <c r="E868" t="s">
        <v>104</v>
      </c>
      <c r="F868" t="s">
        <v>250</v>
      </c>
      <c r="G868">
        <v>220</v>
      </c>
      <c r="H868" t="s">
        <v>38</v>
      </c>
      <c r="I868" t="s">
        <v>30</v>
      </c>
      <c r="J868" t="s">
        <v>31</v>
      </c>
      <c r="K868" s="4">
        <v>52.51</v>
      </c>
      <c r="L868" t="s">
        <v>2101</v>
      </c>
      <c r="M868" s="1">
        <v>46006</v>
      </c>
      <c r="N868" t="s">
        <v>41</v>
      </c>
      <c r="O868" t="s">
        <v>33</v>
      </c>
    </row>
    <row r="869" spans="1:15" x14ac:dyDescent="0.25">
      <c r="A869" t="s">
        <v>2102</v>
      </c>
      <c r="B869" t="s">
        <v>35</v>
      </c>
      <c r="C869">
        <v>2006</v>
      </c>
      <c r="D869" t="s">
        <v>17</v>
      </c>
      <c r="E869" t="s">
        <v>116</v>
      </c>
      <c r="F869" t="s">
        <v>19</v>
      </c>
      <c r="G869">
        <v>50</v>
      </c>
      <c r="H869" t="s">
        <v>85</v>
      </c>
      <c r="I869" t="s">
        <v>186</v>
      </c>
      <c r="J869" t="s">
        <v>49</v>
      </c>
      <c r="K869" s="4">
        <v>253.71</v>
      </c>
      <c r="L869" t="s">
        <v>2103</v>
      </c>
      <c r="M869" s="1">
        <v>46624</v>
      </c>
      <c r="N869" t="s">
        <v>41</v>
      </c>
      <c r="O869" t="s">
        <v>51</v>
      </c>
    </row>
    <row r="870" spans="1:15" x14ac:dyDescent="0.25">
      <c r="A870" t="s">
        <v>2104</v>
      </c>
      <c r="B870" t="s">
        <v>16</v>
      </c>
      <c r="C870">
        <v>2006</v>
      </c>
      <c r="D870" t="s">
        <v>36</v>
      </c>
      <c r="E870" t="s">
        <v>119</v>
      </c>
      <c r="F870" t="s">
        <v>276</v>
      </c>
      <c r="G870">
        <v>40</v>
      </c>
      <c r="H870" t="s">
        <v>62</v>
      </c>
      <c r="I870" t="s">
        <v>151</v>
      </c>
      <c r="J870" t="s">
        <v>22</v>
      </c>
      <c r="K870" s="4">
        <v>18.38</v>
      </c>
      <c r="L870" t="s">
        <v>2105</v>
      </c>
      <c r="M870" s="1">
        <v>46710</v>
      </c>
      <c r="N870" t="s">
        <v>41</v>
      </c>
      <c r="O870" t="s">
        <v>33</v>
      </c>
    </row>
    <row r="871" spans="1:15" x14ac:dyDescent="0.25">
      <c r="A871" t="s">
        <v>2106</v>
      </c>
      <c r="B871" t="s">
        <v>98</v>
      </c>
      <c r="C871">
        <v>2024</v>
      </c>
      <c r="D871" t="s">
        <v>83</v>
      </c>
      <c r="E871" t="s">
        <v>104</v>
      </c>
      <c r="F871" t="s">
        <v>250</v>
      </c>
      <c r="G871">
        <v>520</v>
      </c>
      <c r="H871" t="s">
        <v>85</v>
      </c>
      <c r="I871" t="s">
        <v>91</v>
      </c>
      <c r="J871" t="s">
        <v>31</v>
      </c>
      <c r="K871" s="4">
        <v>134.46</v>
      </c>
      <c r="L871" t="s">
        <v>2107</v>
      </c>
      <c r="M871" s="1">
        <v>46436</v>
      </c>
      <c r="N871" t="s">
        <v>24</v>
      </c>
      <c r="O871" t="s">
        <v>33</v>
      </c>
    </row>
    <row r="872" spans="1:15" x14ac:dyDescent="0.25">
      <c r="A872" t="s">
        <v>465</v>
      </c>
      <c r="B872" t="s">
        <v>77</v>
      </c>
      <c r="C872">
        <v>2014</v>
      </c>
      <c r="D872" t="s">
        <v>83</v>
      </c>
      <c r="E872" t="s">
        <v>104</v>
      </c>
      <c r="F872" t="s">
        <v>145</v>
      </c>
      <c r="G872">
        <v>220</v>
      </c>
      <c r="H872" t="s">
        <v>47</v>
      </c>
      <c r="I872" t="s">
        <v>73</v>
      </c>
      <c r="J872" t="s">
        <v>146</v>
      </c>
      <c r="K872" s="4">
        <v>356.76</v>
      </c>
      <c r="L872" t="s">
        <v>2108</v>
      </c>
      <c r="M872" s="1">
        <v>45935</v>
      </c>
      <c r="N872" t="s">
        <v>41</v>
      </c>
      <c r="O872" t="s">
        <v>25</v>
      </c>
    </row>
    <row r="873" spans="1:15" x14ac:dyDescent="0.25">
      <c r="A873" t="s">
        <v>2109</v>
      </c>
      <c r="B873" t="s">
        <v>138</v>
      </c>
      <c r="C873">
        <v>2005</v>
      </c>
      <c r="D873" t="s">
        <v>108</v>
      </c>
      <c r="E873" t="s">
        <v>60</v>
      </c>
      <c r="F873" t="s">
        <v>162</v>
      </c>
      <c r="G873">
        <v>460</v>
      </c>
      <c r="H873" t="s">
        <v>62</v>
      </c>
      <c r="I873" t="s">
        <v>48</v>
      </c>
      <c r="J873" t="s">
        <v>49</v>
      </c>
      <c r="K873" s="4">
        <v>150.44</v>
      </c>
      <c r="L873" t="s">
        <v>2110</v>
      </c>
      <c r="M873" s="1">
        <v>46539</v>
      </c>
      <c r="N873" t="s">
        <v>24</v>
      </c>
      <c r="O873" t="s">
        <v>51</v>
      </c>
    </row>
    <row r="874" spans="1:15" x14ac:dyDescent="0.25">
      <c r="A874" t="s">
        <v>2111</v>
      </c>
      <c r="B874" t="s">
        <v>98</v>
      </c>
      <c r="C874">
        <v>2006</v>
      </c>
      <c r="D874" t="s">
        <v>17</v>
      </c>
      <c r="E874" t="s">
        <v>99</v>
      </c>
      <c r="F874" t="s">
        <v>722</v>
      </c>
      <c r="G874">
        <v>40</v>
      </c>
      <c r="H874" t="s">
        <v>38</v>
      </c>
      <c r="I874" t="s">
        <v>48</v>
      </c>
      <c r="J874" t="s">
        <v>63</v>
      </c>
      <c r="K874" s="4">
        <v>439.15</v>
      </c>
      <c r="L874" t="s">
        <v>2112</v>
      </c>
      <c r="M874" s="1">
        <v>45999</v>
      </c>
      <c r="N874" t="s">
        <v>75</v>
      </c>
      <c r="O874" t="s">
        <v>25</v>
      </c>
    </row>
    <row r="875" spans="1:15" x14ac:dyDescent="0.25">
      <c r="A875" t="s">
        <v>2113</v>
      </c>
      <c r="B875" t="s">
        <v>35</v>
      </c>
      <c r="C875">
        <v>2018</v>
      </c>
      <c r="D875" t="s">
        <v>95</v>
      </c>
      <c r="E875" t="s">
        <v>72</v>
      </c>
      <c r="F875" t="s">
        <v>2114</v>
      </c>
      <c r="G875">
        <v>630</v>
      </c>
      <c r="H875" t="s">
        <v>38</v>
      </c>
      <c r="I875" t="s">
        <v>86</v>
      </c>
      <c r="J875" t="s">
        <v>63</v>
      </c>
      <c r="K875" s="4">
        <v>143.66</v>
      </c>
      <c r="L875" t="s">
        <v>2115</v>
      </c>
      <c r="M875" s="1">
        <v>45986</v>
      </c>
      <c r="N875" t="s">
        <v>75</v>
      </c>
      <c r="O875" t="s">
        <v>51</v>
      </c>
    </row>
    <row r="876" spans="1:15" x14ac:dyDescent="0.25">
      <c r="A876" t="s">
        <v>2116</v>
      </c>
      <c r="B876" t="s">
        <v>59</v>
      </c>
      <c r="C876">
        <v>2000</v>
      </c>
      <c r="D876" t="s">
        <v>108</v>
      </c>
      <c r="E876" t="s">
        <v>119</v>
      </c>
      <c r="F876" t="s">
        <v>2117</v>
      </c>
      <c r="G876">
        <v>30</v>
      </c>
      <c r="H876" t="s">
        <v>62</v>
      </c>
      <c r="I876" t="s">
        <v>21</v>
      </c>
      <c r="J876" t="s">
        <v>49</v>
      </c>
      <c r="K876" s="4">
        <v>399.58</v>
      </c>
      <c r="L876" t="s">
        <v>2118</v>
      </c>
      <c r="M876" s="1">
        <v>45954</v>
      </c>
      <c r="N876" t="s">
        <v>75</v>
      </c>
      <c r="O876" t="s">
        <v>25</v>
      </c>
    </row>
    <row r="877" spans="1:15" x14ac:dyDescent="0.25">
      <c r="A877" t="s">
        <v>2119</v>
      </c>
      <c r="B877" t="s">
        <v>138</v>
      </c>
      <c r="C877">
        <v>1998</v>
      </c>
      <c r="D877" t="s">
        <v>108</v>
      </c>
      <c r="E877" t="s">
        <v>116</v>
      </c>
      <c r="F877" t="s">
        <v>252</v>
      </c>
      <c r="G877">
        <v>640</v>
      </c>
      <c r="H877" t="s">
        <v>85</v>
      </c>
      <c r="I877" t="s">
        <v>21</v>
      </c>
      <c r="J877" t="s">
        <v>63</v>
      </c>
      <c r="K877" s="4">
        <v>187.06</v>
      </c>
      <c r="L877" t="s">
        <v>2120</v>
      </c>
      <c r="M877" s="1">
        <v>46202</v>
      </c>
      <c r="N877" t="s">
        <v>75</v>
      </c>
      <c r="O877" t="s">
        <v>25</v>
      </c>
    </row>
    <row r="878" spans="1:15" x14ac:dyDescent="0.25">
      <c r="A878" t="s">
        <v>2121</v>
      </c>
      <c r="B878" t="s">
        <v>35</v>
      </c>
      <c r="C878">
        <v>1998</v>
      </c>
      <c r="D878" t="s">
        <v>27</v>
      </c>
      <c r="E878" t="s">
        <v>72</v>
      </c>
      <c r="F878" t="s">
        <v>2122</v>
      </c>
      <c r="G878">
        <v>430</v>
      </c>
      <c r="H878" t="s">
        <v>85</v>
      </c>
      <c r="I878" t="s">
        <v>91</v>
      </c>
      <c r="J878" t="s">
        <v>110</v>
      </c>
      <c r="K878" s="4">
        <v>363.76</v>
      </c>
      <c r="L878" t="s">
        <v>2123</v>
      </c>
      <c r="M878" s="1">
        <v>46740</v>
      </c>
      <c r="N878" t="s">
        <v>41</v>
      </c>
      <c r="O878" t="s">
        <v>51</v>
      </c>
    </row>
    <row r="879" spans="1:15" x14ac:dyDescent="0.25">
      <c r="A879" t="s">
        <v>2124</v>
      </c>
      <c r="B879" t="s">
        <v>98</v>
      </c>
      <c r="C879">
        <v>2020</v>
      </c>
      <c r="D879" t="s">
        <v>83</v>
      </c>
      <c r="E879" t="s">
        <v>54</v>
      </c>
      <c r="F879" t="s">
        <v>252</v>
      </c>
      <c r="G879">
        <v>770</v>
      </c>
      <c r="H879" t="s">
        <v>38</v>
      </c>
      <c r="I879" t="s">
        <v>151</v>
      </c>
      <c r="J879" t="s">
        <v>110</v>
      </c>
      <c r="K879" s="4">
        <v>189.75</v>
      </c>
      <c r="L879" t="s">
        <v>2125</v>
      </c>
      <c r="M879" s="1">
        <v>46419</v>
      </c>
      <c r="N879" t="s">
        <v>75</v>
      </c>
      <c r="O879" t="s">
        <v>51</v>
      </c>
    </row>
    <row r="880" spans="1:15" x14ac:dyDescent="0.25">
      <c r="A880" t="s">
        <v>2126</v>
      </c>
      <c r="B880" t="s">
        <v>59</v>
      </c>
      <c r="C880">
        <v>2022</v>
      </c>
      <c r="D880" t="s">
        <v>66</v>
      </c>
      <c r="E880" t="s">
        <v>18</v>
      </c>
      <c r="F880" t="s">
        <v>67</v>
      </c>
      <c r="G880">
        <v>620</v>
      </c>
      <c r="H880" t="s">
        <v>56</v>
      </c>
      <c r="I880" t="s">
        <v>80</v>
      </c>
      <c r="J880" t="s">
        <v>92</v>
      </c>
      <c r="K880" s="4">
        <v>138.46</v>
      </c>
      <c r="L880" t="s">
        <v>2127</v>
      </c>
      <c r="M880" s="1">
        <v>46951</v>
      </c>
      <c r="N880" t="s">
        <v>24</v>
      </c>
      <c r="O880" t="s">
        <v>33</v>
      </c>
    </row>
    <row r="881" spans="1:15" x14ac:dyDescent="0.25">
      <c r="A881" t="s">
        <v>2128</v>
      </c>
      <c r="B881" t="s">
        <v>77</v>
      </c>
      <c r="C881">
        <v>2017</v>
      </c>
      <c r="D881" t="s">
        <v>89</v>
      </c>
      <c r="E881" t="s">
        <v>78</v>
      </c>
      <c r="F881" t="s">
        <v>994</v>
      </c>
      <c r="G881">
        <v>600</v>
      </c>
      <c r="H881" t="s">
        <v>85</v>
      </c>
      <c r="I881" t="s">
        <v>48</v>
      </c>
      <c r="J881" t="s">
        <v>31</v>
      </c>
      <c r="K881" s="4">
        <v>121.86</v>
      </c>
      <c r="L881" t="s">
        <v>2129</v>
      </c>
      <c r="M881" s="1">
        <v>46807</v>
      </c>
      <c r="N881" t="s">
        <v>75</v>
      </c>
      <c r="O881" t="s">
        <v>25</v>
      </c>
    </row>
    <row r="882" spans="1:15" x14ac:dyDescent="0.25">
      <c r="A882" t="s">
        <v>2130</v>
      </c>
      <c r="B882" t="s">
        <v>53</v>
      </c>
      <c r="C882">
        <v>1995</v>
      </c>
      <c r="D882" t="s">
        <v>17</v>
      </c>
      <c r="E882" t="s">
        <v>60</v>
      </c>
      <c r="F882" t="s">
        <v>761</v>
      </c>
      <c r="G882">
        <v>470</v>
      </c>
      <c r="H882" t="s">
        <v>47</v>
      </c>
      <c r="I882" t="s">
        <v>48</v>
      </c>
      <c r="J882" t="s">
        <v>125</v>
      </c>
      <c r="K882" s="4">
        <v>235.48</v>
      </c>
      <c r="L882" t="s">
        <v>2131</v>
      </c>
      <c r="M882" s="1">
        <v>46690</v>
      </c>
      <c r="N882" t="s">
        <v>75</v>
      </c>
      <c r="O882" t="s">
        <v>25</v>
      </c>
    </row>
    <row r="883" spans="1:15" x14ac:dyDescent="0.25">
      <c r="A883" t="s">
        <v>2132</v>
      </c>
      <c r="B883" t="s">
        <v>134</v>
      </c>
      <c r="C883">
        <v>2012</v>
      </c>
      <c r="D883" t="s">
        <v>71</v>
      </c>
      <c r="E883" t="s">
        <v>119</v>
      </c>
      <c r="F883" t="s">
        <v>208</v>
      </c>
      <c r="G883">
        <v>50</v>
      </c>
      <c r="H883" t="s">
        <v>62</v>
      </c>
      <c r="I883" t="s">
        <v>39</v>
      </c>
      <c r="J883" t="s">
        <v>121</v>
      </c>
      <c r="K883" s="4">
        <v>54.53</v>
      </c>
      <c r="L883" t="s">
        <v>2133</v>
      </c>
      <c r="M883" s="1">
        <v>46349</v>
      </c>
      <c r="N883" t="s">
        <v>75</v>
      </c>
      <c r="O883" t="s">
        <v>51</v>
      </c>
    </row>
    <row r="884" spans="1:15" x14ac:dyDescent="0.25">
      <c r="A884" t="s">
        <v>2134</v>
      </c>
      <c r="B884" t="s">
        <v>77</v>
      </c>
      <c r="C884">
        <v>2007</v>
      </c>
      <c r="D884" t="s">
        <v>89</v>
      </c>
      <c r="E884" t="s">
        <v>18</v>
      </c>
      <c r="F884" t="s">
        <v>162</v>
      </c>
      <c r="G884">
        <v>80</v>
      </c>
      <c r="H884" t="s">
        <v>29</v>
      </c>
      <c r="I884" t="s">
        <v>21</v>
      </c>
      <c r="J884" t="s">
        <v>92</v>
      </c>
      <c r="K884" s="4">
        <v>353.52</v>
      </c>
      <c r="L884" t="s">
        <v>2135</v>
      </c>
      <c r="M884" s="1">
        <v>46853</v>
      </c>
      <c r="N884" t="s">
        <v>75</v>
      </c>
      <c r="O884" t="s">
        <v>33</v>
      </c>
    </row>
    <row r="885" spans="1:15" x14ac:dyDescent="0.25">
      <c r="A885" t="s">
        <v>2136</v>
      </c>
      <c r="B885" t="s">
        <v>16</v>
      </c>
      <c r="C885">
        <v>2006</v>
      </c>
      <c r="D885" t="s">
        <v>71</v>
      </c>
      <c r="E885" t="s">
        <v>72</v>
      </c>
      <c r="F885" t="s">
        <v>381</v>
      </c>
      <c r="G885">
        <v>290</v>
      </c>
      <c r="H885" t="s">
        <v>47</v>
      </c>
      <c r="I885" t="s">
        <v>91</v>
      </c>
      <c r="J885" t="s">
        <v>49</v>
      </c>
      <c r="K885" s="4">
        <v>311.25</v>
      </c>
      <c r="L885" t="s">
        <v>2137</v>
      </c>
      <c r="M885" s="1">
        <v>46388</v>
      </c>
      <c r="N885" t="s">
        <v>24</v>
      </c>
      <c r="O885" t="s">
        <v>33</v>
      </c>
    </row>
    <row r="886" spans="1:15" x14ac:dyDescent="0.25">
      <c r="A886" t="s">
        <v>2138</v>
      </c>
      <c r="B886" t="s">
        <v>59</v>
      </c>
      <c r="C886">
        <v>2009</v>
      </c>
      <c r="D886" t="s">
        <v>108</v>
      </c>
      <c r="E886" t="s">
        <v>72</v>
      </c>
      <c r="F886" t="s">
        <v>250</v>
      </c>
      <c r="G886">
        <v>160</v>
      </c>
      <c r="H886" t="s">
        <v>20</v>
      </c>
      <c r="I886" t="s">
        <v>21</v>
      </c>
      <c r="J886" t="s">
        <v>31</v>
      </c>
      <c r="K886" s="4">
        <v>63.69</v>
      </c>
      <c r="L886" t="s">
        <v>2139</v>
      </c>
      <c r="M886" s="1">
        <v>46550</v>
      </c>
      <c r="N886" t="s">
        <v>24</v>
      </c>
      <c r="O886" t="s">
        <v>51</v>
      </c>
    </row>
    <row r="887" spans="1:15" x14ac:dyDescent="0.25">
      <c r="A887" t="s">
        <v>2140</v>
      </c>
      <c r="B887" t="s">
        <v>16</v>
      </c>
      <c r="C887">
        <v>1999</v>
      </c>
      <c r="D887" t="s">
        <v>83</v>
      </c>
      <c r="E887" t="s">
        <v>99</v>
      </c>
      <c r="F887" t="s">
        <v>145</v>
      </c>
      <c r="G887">
        <v>980</v>
      </c>
      <c r="H887" t="s">
        <v>47</v>
      </c>
      <c r="I887" t="s">
        <v>186</v>
      </c>
      <c r="J887" t="s">
        <v>101</v>
      </c>
      <c r="K887" s="4">
        <v>292.83999999999997</v>
      </c>
      <c r="L887" t="s">
        <v>2141</v>
      </c>
      <c r="M887" s="1">
        <v>45954</v>
      </c>
      <c r="N887" t="s">
        <v>75</v>
      </c>
      <c r="O887" t="s">
        <v>33</v>
      </c>
    </row>
    <row r="888" spans="1:15" x14ac:dyDescent="0.25">
      <c r="A888" t="s">
        <v>2142</v>
      </c>
      <c r="B888" t="s">
        <v>134</v>
      </c>
      <c r="C888">
        <v>2004</v>
      </c>
      <c r="D888" t="s">
        <v>27</v>
      </c>
      <c r="E888" t="s">
        <v>99</v>
      </c>
      <c r="F888" t="s">
        <v>2143</v>
      </c>
      <c r="G888">
        <v>750</v>
      </c>
      <c r="H888" t="s">
        <v>56</v>
      </c>
      <c r="I888" t="s">
        <v>30</v>
      </c>
      <c r="J888" t="s">
        <v>101</v>
      </c>
      <c r="K888" s="4">
        <v>146.22999999999999</v>
      </c>
      <c r="L888" t="s">
        <v>2144</v>
      </c>
      <c r="M888" s="1">
        <v>46863</v>
      </c>
      <c r="N888" t="s">
        <v>75</v>
      </c>
      <c r="O888" t="s">
        <v>51</v>
      </c>
    </row>
    <row r="889" spans="1:15" x14ac:dyDescent="0.25">
      <c r="A889" t="s">
        <v>2145</v>
      </c>
      <c r="B889" t="s">
        <v>43</v>
      </c>
      <c r="C889">
        <v>1992</v>
      </c>
      <c r="D889" t="s">
        <v>66</v>
      </c>
      <c r="E889" t="s">
        <v>99</v>
      </c>
      <c r="F889" t="s">
        <v>189</v>
      </c>
      <c r="G889">
        <v>930</v>
      </c>
      <c r="H889" t="s">
        <v>20</v>
      </c>
      <c r="I889" t="s">
        <v>80</v>
      </c>
      <c r="J889" t="s">
        <v>110</v>
      </c>
      <c r="K889" s="4">
        <v>219.31</v>
      </c>
      <c r="L889" t="s">
        <v>2146</v>
      </c>
      <c r="M889" s="1">
        <v>46707</v>
      </c>
      <c r="N889" t="s">
        <v>41</v>
      </c>
      <c r="O889" t="s">
        <v>33</v>
      </c>
    </row>
    <row r="890" spans="1:15" x14ac:dyDescent="0.25">
      <c r="A890" t="s">
        <v>2147</v>
      </c>
      <c r="B890" t="s">
        <v>138</v>
      </c>
      <c r="C890">
        <v>1990</v>
      </c>
      <c r="D890" t="s">
        <v>95</v>
      </c>
      <c r="E890" t="s">
        <v>72</v>
      </c>
      <c r="F890" t="s">
        <v>1242</v>
      </c>
      <c r="G890">
        <v>770</v>
      </c>
      <c r="H890" t="s">
        <v>20</v>
      </c>
      <c r="I890" t="s">
        <v>39</v>
      </c>
      <c r="J890" t="s">
        <v>22</v>
      </c>
      <c r="K890" s="4">
        <v>117.31</v>
      </c>
      <c r="L890" t="s">
        <v>2148</v>
      </c>
      <c r="M890" s="1">
        <v>46924</v>
      </c>
      <c r="N890" t="s">
        <v>24</v>
      </c>
      <c r="O890" t="s">
        <v>51</v>
      </c>
    </row>
    <row r="891" spans="1:15" x14ac:dyDescent="0.25">
      <c r="A891" t="s">
        <v>2149</v>
      </c>
      <c r="B891" t="s">
        <v>35</v>
      </c>
      <c r="C891">
        <v>2005</v>
      </c>
      <c r="D891" t="s">
        <v>44</v>
      </c>
      <c r="E891" t="s">
        <v>78</v>
      </c>
      <c r="F891" t="s">
        <v>439</v>
      </c>
      <c r="G891">
        <v>390</v>
      </c>
      <c r="H891" t="s">
        <v>62</v>
      </c>
      <c r="I891" t="s">
        <v>80</v>
      </c>
      <c r="J891" t="s">
        <v>92</v>
      </c>
      <c r="K891" s="4">
        <v>46.69</v>
      </c>
      <c r="L891" t="s">
        <v>2150</v>
      </c>
      <c r="M891" s="1">
        <v>46194</v>
      </c>
      <c r="N891" t="s">
        <v>24</v>
      </c>
      <c r="O891" t="s">
        <v>51</v>
      </c>
    </row>
    <row r="892" spans="1:15" x14ac:dyDescent="0.25">
      <c r="A892" t="s">
        <v>2151</v>
      </c>
      <c r="B892" t="s">
        <v>138</v>
      </c>
      <c r="C892">
        <v>2009</v>
      </c>
      <c r="D892" t="s">
        <v>27</v>
      </c>
      <c r="E892" t="s">
        <v>104</v>
      </c>
      <c r="F892" t="s">
        <v>2152</v>
      </c>
      <c r="G892">
        <v>240</v>
      </c>
      <c r="H892" t="s">
        <v>38</v>
      </c>
      <c r="I892" t="s">
        <v>86</v>
      </c>
      <c r="J892" t="s">
        <v>110</v>
      </c>
      <c r="K892" s="4">
        <v>480.78</v>
      </c>
      <c r="L892" t="s">
        <v>2153</v>
      </c>
      <c r="M892" s="1">
        <v>45934</v>
      </c>
      <c r="N892" t="s">
        <v>41</v>
      </c>
      <c r="O892" t="s">
        <v>33</v>
      </c>
    </row>
    <row r="893" spans="1:15" x14ac:dyDescent="0.25">
      <c r="A893" t="s">
        <v>2154</v>
      </c>
      <c r="B893" t="s">
        <v>77</v>
      </c>
      <c r="C893">
        <v>2003</v>
      </c>
      <c r="D893" t="s">
        <v>71</v>
      </c>
      <c r="E893" t="s">
        <v>18</v>
      </c>
      <c r="F893" t="s">
        <v>2155</v>
      </c>
      <c r="G893">
        <v>460</v>
      </c>
      <c r="H893" t="s">
        <v>85</v>
      </c>
      <c r="I893" t="s">
        <v>73</v>
      </c>
      <c r="J893" t="s">
        <v>63</v>
      </c>
      <c r="K893" s="4">
        <v>292.87</v>
      </c>
      <c r="L893" t="s">
        <v>2156</v>
      </c>
      <c r="M893" s="1">
        <v>46685</v>
      </c>
      <c r="N893" t="s">
        <v>75</v>
      </c>
      <c r="O893" t="s">
        <v>33</v>
      </c>
    </row>
    <row r="894" spans="1:15" x14ac:dyDescent="0.25">
      <c r="A894" t="s">
        <v>2157</v>
      </c>
      <c r="B894" t="s">
        <v>53</v>
      </c>
      <c r="C894">
        <v>1990</v>
      </c>
      <c r="D894" t="s">
        <v>44</v>
      </c>
      <c r="E894" t="s">
        <v>78</v>
      </c>
      <c r="F894" t="s">
        <v>145</v>
      </c>
      <c r="G894">
        <v>400</v>
      </c>
      <c r="H894" t="s">
        <v>56</v>
      </c>
      <c r="I894" t="s">
        <v>186</v>
      </c>
      <c r="J894" t="s">
        <v>22</v>
      </c>
      <c r="K894" s="4">
        <v>315.38</v>
      </c>
      <c r="L894" t="s">
        <v>2158</v>
      </c>
      <c r="M894" s="1">
        <v>45916</v>
      </c>
      <c r="N894" t="s">
        <v>24</v>
      </c>
      <c r="O894" t="s">
        <v>25</v>
      </c>
    </row>
    <row r="895" spans="1:15" x14ac:dyDescent="0.25">
      <c r="A895" t="s">
        <v>2159</v>
      </c>
      <c r="B895" t="s">
        <v>16</v>
      </c>
      <c r="C895">
        <v>1997</v>
      </c>
      <c r="D895" t="s">
        <v>66</v>
      </c>
      <c r="E895" t="s">
        <v>60</v>
      </c>
      <c r="F895" t="s">
        <v>208</v>
      </c>
      <c r="G895">
        <v>840</v>
      </c>
      <c r="H895" t="s">
        <v>47</v>
      </c>
      <c r="I895" t="s">
        <v>91</v>
      </c>
      <c r="J895" t="s">
        <v>110</v>
      </c>
      <c r="K895" s="4">
        <v>25.35</v>
      </c>
      <c r="L895" t="s">
        <v>2160</v>
      </c>
      <c r="M895" s="1">
        <v>46708</v>
      </c>
      <c r="N895" t="s">
        <v>75</v>
      </c>
      <c r="O895" t="s">
        <v>25</v>
      </c>
    </row>
    <row r="896" spans="1:15" x14ac:dyDescent="0.25">
      <c r="A896" t="s">
        <v>2161</v>
      </c>
      <c r="B896" t="s">
        <v>70</v>
      </c>
      <c r="C896">
        <v>2004</v>
      </c>
      <c r="D896" t="s">
        <v>71</v>
      </c>
      <c r="E896" t="s">
        <v>45</v>
      </c>
      <c r="F896" t="s">
        <v>124</v>
      </c>
      <c r="G896">
        <v>590</v>
      </c>
      <c r="H896" t="s">
        <v>62</v>
      </c>
      <c r="I896" t="s">
        <v>73</v>
      </c>
      <c r="J896" t="s">
        <v>110</v>
      </c>
      <c r="K896" s="4">
        <v>173.66</v>
      </c>
      <c r="L896" t="s">
        <v>2162</v>
      </c>
      <c r="M896" s="1">
        <v>46749</v>
      </c>
      <c r="N896" t="s">
        <v>24</v>
      </c>
      <c r="O896" t="s">
        <v>33</v>
      </c>
    </row>
    <row r="897" spans="1:15" x14ac:dyDescent="0.25">
      <c r="A897" t="s">
        <v>2163</v>
      </c>
      <c r="B897" t="s">
        <v>77</v>
      </c>
      <c r="C897">
        <v>2021</v>
      </c>
      <c r="D897" t="s">
        <v>17</v>
      </c>
      <c r="E897" t="s">
        <v>54</v>
      </c>
      <c r="F897" t="s">
        <v>603</v>
      </c>
      <c r="G897">
        <v>820</v>
      </c>
      <c r="H897" t="s">
        <v>62</v>
      </c>
      <c r="I897" t="s">
        <v>151</v>
      </c>
      <c r="J897" t="s">
        <v>22</v>
      </c>
      <c r="K897" s="4">
        <v>346.86</v>
      </c>
      <c r="L897" t="s">
        <v>2164</v>
      </c>
      <c r="M897" s="1">
        <v>46164</v>
      </c>
      <c r="N897" t="s">
        <v>75</v>
      </c>
      <c r="O897" t="s">
        <v>25</v>
      </c>
    </row>
    <row r="898" spans="1:15" x14ac:dyDescent="0.25">
      <c r="A898" t="s">
        <v>2165</v>
      </c>
      <c r="B898" t="s">
        <v>138</v>
      </c>
      <c r="C898">
        <v>2017</v>
      </c>
      <c r="D898" t="s">
        <v>108</v>
      </c>
      <c r="E898" t="s">
        <v>119</v>
      </c>
      <c r="F898" t="s">
        <v>67</v>
      </c>
      <c r="G898">
        <v>890</v>
      </c>
      <c r="H898" t="s">
        <v>56</v>
      </c>
      <c r="I898" t="s">
        <v>151</v>
      </c>
      <c r="J898" t="s">
        <v>146</v>
      </c>
      <c r="K898" s="4">
        <v>246.21</v>
      </c>
      <c r="L898" t="s">
        <v>2166</v>
      </c>
      <c r="M898" s="1">
        <v>46430</v>
      </c>
      <c r="N898" t="s">
        <v>75</v>
      </c>
      <c r="O898" t="s">
        <v>33</v>
      </c>
    </row>
    <row r="899" spans="1:15" x14ac:dyDescent="0.25">
      <c r="A899" t="s">
        <v>2167</v>
      </c>
      <c r="B899" t="s">
        <v>77</v>
      </c>
      <c r="C899">
        <v>2020</v>
      </c>
      <c r="D899" t="s">
        <v>71</v>
      </c>
      <c r="E899" t="s">
        <v>78</v>
      </c>
      <c r="F899" t="s">
        <v>1522</v>
      </c>
      <c r="G899">
        <v>630</v>
      </c>
      <c r="H899" t="s">
        <v>56</v>
      </c>
      <c r="I899" t="s">
        <v>21</v>
      </c>
      <c r="J899" t="s">
        <v>22</v>
      </c>
      <c r="K899" s="4">
        <v>232.81</v>
      </c>
      <c r="L899" t="s">
        <v>2168</v>
      </c>
      <c r="M899" s="1">
        <v>46624</v>
      </c>
      <c r="N899" t="s">
        <v>41</v>
      </c>
      <c r="O899" t="s">
        <v>51</v>
      </c>
    </row>
    <row r="900" spans="1:15" x14ac:dyDescent="0.25">
      <c r="A900" t="s">
        <v>2169</v>
      </c>
      <c r="B900" t="s">
        <v>134</v>
      </c>
      <c r="C900">
        <v>2018</v>
      </c>
      <c r="D900" t="s">
        <v>66</v>
      </c>
      <c r="E900" t="s">
        <v>99</v>
      </c>
      <c r="F900" t="s">
        <v>388</v>
      </c>
      <c r="G900">
        <v>990</v>
      </c>
      <c r="H900" t="s">
        <v>38</v>
      </c>
      <c r="I900" t="s">
        <v>151</v>
      </c>
      <c r="J900" t="s">
        <v>110</v>
      </c>
      <c r="K900" s="4">
        <v>14.85</v>
      </c>
      <c r="L900" t="s">
        <v>2170</v>
      </c>
      <c r="M900" s="1">
        <v>46311</v>
      </c>
      <c r="N900" t="s">
        <v>41</v>
      </c>
      <c r="O900" t="s">
        <v>25</v>
      </c>
    </row>
    <row r="901" spans="1:15" x14ac:dyDescent="0.25">
      <c r="A901" t="s">
        <v>2171</v>
      </c>
      <c r="B901" t="s">
        <v>59</v>
      </c>
      <c r="C901">
        <v>2001</v>
      </c>
      <c r="D901" t="s">
        <v>108</v>
      </c>
      <c r="E901" t="s">
        <v>119</v>
      </c>
      <c r="F901" t="s">
        <v>1730</v>
      </c>
      <c r="G901">
        <v>160</v>
      </c>
      <c r="H901" t="s">
        <v>38</v>
      </c>
      <c r="I901" t="s">
        <v>80</v>
      </c>
      <c r="J901" t="s">
        <v>101</v>
      </c>
      <c r="K901" s="4">
        <v>498.68</v>
      </c>
      <c r="L901" t="s">
        <v>2172</v>
      </c>
      <c r="M901" s="1">
        <v>46792</v>
      </c>
      <c r="N901" t="s">
        <v>41</v>
      </c>
      <c r="O901" t="s">
        <v>51</v>
      </c>
    </row>
    <row r="902" spans="1:15" x14ac:dyDescent="0.25">
      <c r="A902" t="s">
        <v>2173</v>
      </c>
      <c r="B902" t="s">
        <v>98</v>
      </c>
      <c r="C902">
        <v>2022</v>
      </c>
      <c r="D902" t="s">
        <v>108</v>
      </c>
      <c r="E902" t="s">
        <v>18</v>
      </c>
      <c r="F902" t="s">
        <v>2174</v>
      </c>
      <c r="G902">
        <v>360</v>
      </c>
      <c r="H902" t="s">
        <v>47</v>
      </c>
      <c r="I902" t="s">
        <v>186</v>
      </c>
      <c r="J902" t="s">
        <v>92</v>
      </c>
      <c r="K902" s="4">
        <v>166.07</v>
      </c>
      <c r="L902" t="s">
        <v>2175</v>
      </c>
      <c r="M902" s="1">
        <v>46013</v>
      </c>
      <c r="N902" t="s">
        <v>41</v>
      </c>
      <c r="O902" t="s">
        <v>33</v>
      </c>
    </row>
    <row r="903" spans="1:15" x14ac:dyDescent="0.25">
      <c r="A903" t="s">
        <v>2176</v>
      </c>
      <c r="B903" t="s">
        <v>43</v>
      </c>
      <c r="C903">
        <v>2002</v>
      </c>
      <c r="D903" t="s">
        <v>17</v>
      </c>
      <c r="E903" t="s">
        <v>104</v>
      </c>
      <c r="F903" t="s">
        <v>654</v>
      </c>
      <c r="G903">
        <v>160</v>
      </c>
      <c r="H903" t="s">
        <v>20</v>
      </c>
      <c r="I903" t="s">
        <v>73</v>
      </c>
      <c r="J903" t="s">
        <v>121</v>
      </c>
      <c r="K903" s="4">
        <v>54.11</v>
      </c>
      <c r="L903" t="s">
        <v>2177</v>
      </c>
      <c r="M903" s="1">
        <v>46897</v>
      </c>
      <c r="N903" t="s">
        <v>24</v>
      </c>
      <c r="O903" t="s">
        <v>51</v>
      </c>
    </row>
    <row r="904" spans="1:15" x14ac:dyDescent="0.25">
      <c r="A904" t="s">
        <v>2178</v>
      </c>
      <c r="B904" t="s">
        <v>59</v>
      </c>
      <c r="C904">
        <v>1996</v>
      </c>
      <c r="D904" t="s">
        <v>95</v>
      </c>
      <c r="E904" t="s">
        <v>99</v>
      </c>
      <c r="F904" t="s">
        <v>135</v>
      </c>
      <c r="G904">
        <v>780</v>
      </c>
      <c r="H904" t="s">
        <v>62</v>
      </c>
      <c r="I904" t="s">
        <v>80</v>
      </c>
      <c r="J904" t="s">
        <v>110</v>
      </c>
      <c r="K904" s="4">
        <v>348.83</v>
      </c>
      <c r="L904" t="s">
        <v>2179</v>
      </c>
      <c r="M904" s="1">
        <v>46250</v>
      </c>
      <c r="N904" t="s">
        <v>75</v>
      </c>
      <c r="O904" t="s">
        <v>33</v>
      </c>
    </row>
    <row r="905" spans="1:15" x14ac:dyDescent="0.25">
      <c r="A905" t="s">
        <v>2180</v>
      </c>
      <c r="B905" t="s">
        <v>134</v>
      </c>
      <c r="C905">
        <v>1992</v>
      </c>
      <c r="D905" t="s">
        <v>95</v>
      </c>
      <c r="E905" t="s">
        <v>104</v>
      </c>
      <c r="F905" t="s">
        <v>2181</v>
      </c>
      <c r="G905">
        <v>140</v>
      </c>
      <c r="H905" t="s">
        <v>29</v>
      </c>
      <c r="I905" t="s">
        <v>30</v>
      </c>
      <c r="J905" t="s">
        <v>146</v>
      </c>
      <c r="K905" s="4">
        <v>290.37</v>
      </c>
      <c r="L905" t="s">
        <v>2182</v>
      </c>
      <c r="M905" s="1">
        <v>45964</v>
      </c>
      <c r="N905" t="s">
        <v>24</v>
      </c>
      <c r="O905" t="s">
        <v>51</v>
      </c>
    </row>
    <row r="906" spans="1:15" x14ac:dyDescent="0.25">
      <c r="A906" t="s">
        <v>2183</v>
      </c>
      <c r="B906" t="s">
        <v>53</v>
      </c>
      <c r="C906">
        <v>1998</v>
      </c>
      <c r="D906" t="s">
        <v>66</v>
      </c>
      <c r="E906" t="s">
        <v>78</v>
      </c>
      <c r="F906" t="s">
        <v>208</v>
      </c>
      <c r="G906">
        <v>790</v>
      </c>
      <c r="H906" t="s">
        <v>20</v>
      </c>
      <c r="I906" t="s">
        <v>30</v>
      </c>
      <c r="J906" t="s">
        <v>121</v>
      </c>
      <c r="K906" s="4">
        <v>120.11</v>
      </c>
      <c r="L906" t="s">
        <v>2184</v>
      </c>
      <c r="M906" s="1">
        <v>46207</v>
      </c>
      <c r="N906" t="s">
        <v>75</v>
      </c>
      <c r="O906" t="s">
        <v>25</v>
      </c>
    </row>
    <row r="907" spans="1:15" x14ac:dyDescent="0.25">
      <c r="A907" t="s">
        <v>2185</v>
      </c>
      <c r="B907" t="s">
        <v>134</v>
      </c>
      <c r="C907">
        <v>2004</v>
      </c>
      <c r="D907" t="s">
        <v>17</v>
      </c>
      <c r="E907" t="s">
        <v>99</v>
      </c>
      <c r="F907" t="s">
        <v>1797</v>
      </c>
      <c r="G907">
        <v>930</v>
      </c>
      <c r="H907" t="s">
        <v>62</v>
      </c>
      <c r="I907" t="s">
        <v>151</v>
      </c>
      <c r="J907" t="s">
        <v>63</v>
      </c>
      <c r="K907" s="4">
        <v>392.26</v>
      </c>
      <c r="L907" t="s">
        <v>2186</v>
      </c>
      <c r="M907" s="1">
        <v>46229</v>
      </c>
      <c r="N907" t="s">
        <v>41</v>
      </c>
      <c r="O907" t="s">
        <v>33</v>
      </c>
    </row>
    <row r="908" spans="1:15" x14ac:dyDescent="0.25">
      <c r="A908" t="s">
        <v>2187</v>
      </c>
      <c r="B908" t="s">
        <v>59</v>
      </c>
      <c r="C908">
        <v>1994</v>
      </c>
      <c r="D908" t="s">
        <v>95</v>
      </c>
      <c r="E908" t="s">
        <v>119</v>
      </c>
      <c r="F908" t="s">
        <v>67</v>
      </c>
      <c r="G908">
        <v>50</v>
      </c>
      <c r="H908" t="s">
        <v>20</v>
      </c>
      <c r="I908" t="s">
        <v>186</v>
      </c>
      <c r="J908" t="s">
        <v>101</v>
      </c>
      <c r="K908" s="4">
        <v>238.93</v>
      </c>
      <c r="L908" t="s">
        <v>2188</v>
      </c>
      <c r="M908" s="1">
        <v>46407</v>
      </c>
      <c r="N908" t="s">
        <v>75</v>
      </c>
      <c r="O908" t="s">
        <v>25</v>
      </c>
    </row>
    <row r="909" spans="1:15" x14ac:dyDescent="0.25">
      <c r="A909" t="s">
        <v>2189</v>
      </c>
      <c r="B909" t="s">
        <v>77</v>
      </c>
      <c r="C909">
        <v>2017</v>
      </c>
      <c r="D909" t="s">
        <v>66</v>
      </c>
      <c r="E909" t="s">
        <v>72</v>
      </c>
      <c r="F909" t="s">
        <v>830</v>
      </c>
      <c r="G909">
        <v>580</v>
      </c>
      <c r="H909" t="s">
        <v>56</v>
      </c>
      <c r="I909" t="s">
        <v>48</v>
      </c>
      <c r="J909" t="s">
        <v>146</v>
      </c>
      <c r="K909" s="4">
        <v>114.34</v>
      </c>
      <c r="L909" t="s">
        <v>2190</v>
      </c>
      <c r="M909" s="1">
        <v>46388</v>
      </c>
      <c r="N909" t="s">
        <v>75</v>
      </c>
      <c r="O909" t="s">
        <v>33</v>
      </c>
    </row>
    <row r="910" spans="1:15" x14ac:dyDescent="0.25">
      <c r="A910" t="s">
        <v>2191</v>
      </c>
      <c r="B910" t="s">
        <v>138</v>
      </c>
      <c r="C910">
        <v>2009</v>
      </c>
      <c r="D910" t="s">
        <v>27</v>
      </c>
      <c r="E910" t="s">
        <v>60</v>
      </c>
      <c r="F910" t="s">
        <v>2192</v>
      </c>
      <c r="G910">
        <v>880</v>
      </c>
      <c r="H910" t="s">
        <v>56</v>
      </c>
      <c r="I910" t="s">
        <v>186</v>
      </c>
      <c r="J910" t="s">
        <v>146</v>
      </c>
      <c r="K910" s="4">
        <v>127.56</v>
      </c>
      <c r="L910" t="s">
        <v>2193</v>
      </c>
      <c r="M910" s="1">
        <v>46724</v>
      </c>
      <c r="N910" t="s">
        <v>24</v>
      </c>
      <c r="O910" t="s">
        <v>25</v>
      </c>
    </row>
    <row r="911" spans="1:15" x14ac:dyDescent="0.25">
      <c r="A911" t="s">
        <v>2194</v>
      </c>
      <c r="B911" t="s">
        <v>98</v>
      </c>
      <c r="C911">
        <v>2012</v>
      </c>
      <c r="D911" t="s">
        <v>95</v>
      </c>
      <c r="E911" t="s">
        <v>72</v>
      </c>
      <c r="F911" t="s">
        <v>131</v>
      </c>
      <c r="G911">
        <v>390</v>
      </c>
      <c r="H911" t="s">
        <v>38</v>
      </c>
      <c r="I911" t="s">
        <v>39</v>
      </c>
      <c r="J911" t="s">
        <v>110</v>
      </c>
      <c r="K911" s="4">
        <v>362.38</v>
      </c>
      <c r="L911" t="s">
        <v>2195</v>
      </c>
      <c r="M911" s="1">
        <v>46127</v>
      </c>
      <c r="N911" t="s">
        <v>75</v>
      </c>
      <c r="O911" t="s">
        <v>25</v>
      </c>
    </row>
    <row r="912" spans="1:15" x14ac:dyDescent="0.25">
      <c r="A912" t="s">
        <v>2196</v>
      </c>
      <c r="B912" t="s">
        <v>35</v>
      </c>
      <c r="C912">
        <v>2020</v>
      </c>
      <c r="D912" t="s">
        <v>108</v>
      </c>
      <c r="E912" t="s">
        <v>104</v>
      </c>
      <c r="F912" t="s">
        <v>2197</v>
      </c>
      <c r="G912">
        <v>850</v>
      </c>
      <c r="H912" t="s">
        <v>85</v>
      </c>
      <c r="I912" t="s">
        <v>151</v>
      </c>
      <c r="J912" t="s">
        <v>101</v>
      </c>
      <c r="K912" s="4">
        <v>462.29</v>
      </c>
      <c r="L912" t="s">
        <v>2198</v>
      </c>
      <c r="M912" s="1">
        <v>46292</v>
      </c>
      <c r="N912" t="s">
        <v>24</v>
      </c>
      <c r="O912" t="s">
        <v>33</v>
      </c>
    </row>
    <row r="913" spans="1:15" x14ac:dyDescent="0.25">
      <c r="A913" t="s">
        <v>2199</v>
      </c>
      <c r="B913" t="s">
        <v>53</v>
      </c>
      <c r="C913">
        <v>2003</v>
      </c>
      <c r="D913" t="s">
        <v>36</v>
      </c>
      <c r="E913" t="s">
        <v>78</v>
      </c>
      <c r="F913" t="s">
        <v>135</v>
      </c>
      <c r="G913">
        <v>780</v>
      </c>
      <c r="H913" t="s">
        <v>29</v>
      </c>
      <c r="I913" t="s">
        <v>151</v>
      </c>
      <c r="J913" t="s">
        <v>22</v>
      </c>
      <c r="K913" s="4">
        <v>45.69</v>
      </c>
      <c r="L913" t="s">
        <v>2200</v>
      </c>
      <c r="M913" s="1">
        <v>46221</v>
      </c>
      <c r="N913" t="s">
        <v>24</v>
      </c>
      <c r="O913" t="s">
        <v>51</v>
      </c>
    </row>
    <row r="914" spans="1:15" x14ac:dyDescent="0.25">
      <c r="A914" t="s">
        <v>637</v>
      </c>
      <c r="B914" t="s">
        <v>53</v>
      </c>
      <c r="C914">
        <v>1992</v>
      </c>
      <c r="D914" t="s">
        <v>89</v>
      </c>
      <c r="E914" t="s">
        <v>72</v>
      </c>
      <c r="F914" t="s">
        <v>1695</v>
      </c>
      <c r="G914">
        <v>390</v>
      </c>
      <c r="H914" t="s">
        <v>85</v>
      </c>
      <c r="I914" t="s">
        <v>151</v>
      </c>
      <c r="J914" t="s">
        <v>31</v>
      </c>
      <c r="K914" s="4">
        <v>188.27</v>
      </c>
      <c r="L914" t="s">
        <v>2201</v>
      </c>
      <c r="M914" s="1">
        <v>46110</v>
      </c>
      <c r="N914" t="s">
        <v>75</v>
      </c>
      <c r="O914" t="s">
        <v>25</v>
      </c>
    </row>
    <row r="915" spans="1:15" x14ac:dyDescent="0.25">
      <c r="A915" t="s">
        <v>2202</v>
      </c>
      <c r="B915" t="s">
        <v>70</v>
      </c>
      <c r="C915">
        <v>2006</v>
      </c>
      <c r="D915" t="s">
        <v>71</v>
      </c>
      <c r="E915" t="s">
        <v>54</v>
      </c>
      <c r="F915" t="s">
        <v>139</v>
      </c>
      <c r="G915">
        <v>950</v>
      </c>
      <c r="H915" t="s">
        <v>56</v>
      </c>
      <c r="I915" t="s">
        <v>80</v>
      </c>
      <c r="J915" t="s">
        <v>110</v>
      </c>
      <c r="K915" s="4">
        <v>478.35</v>
      </c>
      <c r="L915" t="s">
        <v>2203</v>
      </c>
      <c r="M915" s="1">
        <v>46924</v>
      </c>
      <c r="N915" t="s">
        <v>24</v>
      </c>
      <c r="O915" t="s">
        <v>33</v>
      </c>
    </row>
    <row r="916" spans="1:15" x14ac:dyDescent="0.25">
      <c r="A916" t="s">
        <v>2204</v>
      </c>
      <c r="B916" t="s">
        <v>59</v>
      </c>
      <c r="C916">
        <v>2016</v>
      </c>
      <c r="D916" t="s">
        <v>108</v>
      </c>
      <c r="E916" t="s">
        <v>18</v>
      </c>
      <c r="F916" t="s">
        <v>139</v>
      </c>
      <c r="G916">
        <v>840</v>
      </c>
      <c r="H916" t="s">
        <v>38</v>
      </c>
      <c r="I916" t="s">
        <v>30</v>
      </c>
      <c r="J916" t="s">
        <v>31</v>
      </c>
      <c r="K916" s="4">
        <v>432.33</v>
      </c>
      <c r="L916" t="s">
        <v>2205</v>
      </c>
      <c r="M916" s="1">
        <v>46932</v>
      </c>
      <c r="N916" t="s">
        <v>75</v>
      </c>
      <c r="O916" t="s">
        <v>51</v>
      </c>
    </row>
    <row r="917" spans="1:15" x14ac:dyDescent="0.25">
      <c r="A917" t="s">
        <v>2206</v>
      </c>
      <c r="B917" t="s">
        <v>16</v>
      </c>
      <c r="C917">
        <v>2003</v>
      </c>
      <c r="D917" t="s">
        <v>27</v>
      </c>
      <c r="E917" t="s">
        <v>119</v>
      </c>
      <c r="F917" t="s">
        <v>499</v>
      </c>
      <c r="G917">
        <v>670</v>
      </c>
      <c r="H917" t="s">
        <v>47</v>
      </c>
      <c r="I917" t="s">
        <v>48</v>
      </c>
      <c r="J917" t="s">
        <v>31</v>
      </c>
      <c r="K917" s="4">
        <v>209.21</v>
      </c>
      <c r="L917" t="s">
        <v>2207</v>
      </c>
      <c r="M917" s="1">
        <v>46191</v>
      </c>
      <c r="N917" t="s">
        <v>41</v>
      </c>
      <c r="O917" t="s">
        <v>25</v>
      </c>
    </row>
    <row r="918" spans="1:15" x14ac:dyDescent="0.25">
      <c r="A918" t="s">
        <v>2208</v>
      </c>
      <c r="B918" t="s">
        <v>134</v>
      </c>
      <c r="C918">
        <v>2014</v>
      </c>
      <c r="D918" t="s">
        <v>36</v>
      </c>
      <c r="E918" t="s">
        <v>45</v>
      </c>
      <c r="F918" t="s">
        <v>2209</v>
      </c>
      <c r="G918">
        <v>310</v>
      </c>
      <c r="H918" t="s">
        <v>62</v>
      </c>
      <c r="I918" t="s">
        <v>80</v>
      </c>
      <c r="J918" t="s">
        <v>146</v>
      </c>
      <c r="K918" s="4">
        <v>127.93</v>
      </c>
      <c r="L918" t="s">
        <v>2210</v>
      </c>
      <c r="M918" s="1">
        <v>46188</v>
      </c>
      <c r="N918" t="s">
        <v>41</v>
      </c>
      <c r="O918" t="s">
        <v>51</v>
      </c>
    </row>
    <row r="919" spans="1:15" x14ac:dyDescent="0.25">
      <c r="A919" t="s">
        <v>2211</v>
      </c>
      <c r="B919" t="s">
        <v>59</v>
      </c>
      <c r="C919">
        <v>2005</v>
      </c>
      <c r="D919" t="s">
        <v>108</v>
      </c>
      <c r="E919" t="s">
        <v>18</v>
      </c>
      <c r="F919" t="s">
        <v>135</v>
      </c>
      <c r="G919">
        <v>870</v>
      </c>
      <c r="H919" t="s">
        <v>47</v>
      </c>
      <c r="I919" t="s">
        <v>48</v>
      </c>
      <c r="J919" t="s">
        <v>101</v>
      </c>
      <c r="K919" s="4">
        <v>370.82</v>
      </c>
      <c r="L919" t="s">
        <v>2212</v>
      </c>
      <c r="M919" s="1">
        <v>45950</v>
      </c>
      <c r="N919" t="s">
        <v>41</v>
      </c>
      <c r="O919" t="s">
        <v>25</v>
      </c>
    </row>
    <row r="920" spans="1:15" x14ac:dyDescent="0.25">
      <c r="A920" t="s">
        <v>2213</v>
      </c>
      <c r="B920" t="s">
        <v>59</v>
      </c>
      <c r="C920">
        <v>2011</v>
      </c>
      <c r="D920" t="s">
        <v>17</v>
      </c>
      <c r="E920" t="s">
        <v>60</v>
      </c>
      <c r="F920" t="s">
        <v>1144</v>
      </c>
      <c r="G920">
        <v>910</v>
      </c>
      <c r="H920" t="s">
        <v>20</v>
      </c>
      <c r="I920" t="s">
        <v>39</v>
      </c>
      <c r="J920" t="s">
        <v>101</v>
      </c>
      <c r="K920" s="4">
        <v>247.03</v>
      </c>
      <c r="L920" t="s">
        <v>2214</v>
      </c>
      <c r="M920" s="1">
        <v>46234</v>
      </c>
      <c r="N920" t="s">
        <v>41</v>
      </c>
      <c r="O920" t="s">
        <v>33</v>
      </c>
    </row>
    <row r="921" spans="1:15" x14ac:dyDescent="0.25">
      <c r="A921" t="s">
        <v>2215</v>
      </c>
      <c r="B921" t="s">
        <v>59</v>
      </c>
      <c r="C921">
        <v>2022</v>
      </c>
      <c r="D921" t="s">
        <v>36</v>
      </c>
      <c r="E921" t="s">
        <v>116</v>
      </c>
      <c r="F921" t="s">
        <v>513</v>
      </c>
      <c r="G921">
        <v>480</v>
      </c>
      <c r="H921" t="s">
        <v>56</v>
      </c>
      <c r="I921" t="s">
        <v>91</v>
      </c>
      <c r="J921" t="s">
        <v>121</v>
      </c>
      <c r="K921" s="4">
        <v>370.49</v>
      </c>
      <c r="L921" t="s">
        <v>2216</v>
      </c>
      <c r="M921" s="1">
        <v>46438</v>
      </c>
      <c r="N921" t="s">
        <v>75</v>
      </c>
      <c r="O921" t="s">
        <v>33</v>
      </c>
    </row>
    <row r="922" spans="1:15" x14ac:dyDescent="0.25">
      <c r="A922" t="s">
        <v>2217</v>
      </c>
      <c r="B922" t="s">
        <v>70</v>
      </c>
      <c r="C922">
        <v>2003</v>
      </c>
      <c r="D922" t="s">
        <v>44</v>
      </c>
      <c r="E922" t="s">
        <v>104</v>
      </c>
      <c r="F922" t="s">
        <v>142</v>
      </c>
      <c r="G922">
        <v>680</v>
      </c>
      <c r="H922" t="s">
        <v>62</v>
      </c>
      <c r="I922" t="s">
        <v>30</v>
      </c>
      <c r="J922" t="s">
        <v>125</v>
      </c>
      <c r="K922" s="4">
        <v>82.36</v>
      </c>
      <c r="L922" t="s">
        <v>2218</v>
      </c>
      <c r="M922" s="1">
        <v>46557</v>
      </c>
      <c r="N922" t="s">
        <v>24</v>
      </c>
      <c r="O922" t="s">
        <v>33</v>
      </c>
    </row>
    <row r="923" spans="1:15" x14ac:dyDescent="0.25">
      <c r="A923" t="s">
        <v>249</v>
      </c>
      <c r="B923" t="s">
        <v>138</v>
      </c>
      <c r="C923">
        <v>2005</v>
      </c>
      <c r="D923" t="s">
        <v>83</v>
      </c>
      <c r="E923" t="s">
        <v>99</v>
      </c>
      <c r="F923" t="s">
        <v>505</v>
      </c>
      <c r="G923">
        <v>710</v>
      </c>
      <c r="H923" t="s">
        <v>56</v>
      </c>
      <c r="I923" t="s">
        <v>86</v>
      </c>
      <c r="J923" t="s">
        <v>146</v>
      </c>
      <c r="K923" s="4">
        <v>94.58</v>
      </c>
      <c r="L923" t="s">
        <v>2219</v>
      </c>
      <c r="M923" s="1">
        <v>46855</v>
      </c>
      <c r="N923" t="s">
        <v>41</v>
      </c>
      <c r="O923" t="s">
        <v>33</v>
      </c>
    </row>
    <row r="924" spans="1:15" x14ac:dyDescent="0.25">
      <c r="A924" t="s">
        <v>2220</v>
      </c>
      <c r="B924" t="s">
        <v>138</v>
      </c>
      <c r="C924">
        <v>1997</v>
      </c>
      <c r="D924" t="s">
        <v>95</v>
      </c>
      <c r="E924" t="s">
        <v>72</v>
      </c>
      <c r="F924" t="s">
        <v>270</v>
      </c>
      <c r="G924">
        <v>580</v>
      </c>
      <c r="H924" t="s">
        <v>20</v>
      </c>
      <c r="I924" t="s">
        <v>48</v>
      </c>
      <c r="J924" t="s">
        <v>101</v>
      </c>
      <c r="K924" s="4">
        <v>9.01</v>
      </c>
      <c r="L924" t="s">
        <v>2221</v>
      </c>
      <c r="M924" s="1">
        <v>46821</v>
      </c>
      <c r="N924" t="s">
        <v>24</v>
      </c>
      <c r="O924" t="s">
        <v>51</v>
      </c>
    </row>
    <row r="925" spans="1:15" x14ac:dyDescent="0.25">
      <c r="A925" t="s">
        <v>2222</v>
      </c>
      <c r="B925" t="s">
        <v>77</v>
      </c>
      <c r="C925">
        <v>1995</v>
      </c>
      <c r="D925" t="s">
        <v>83</v>
      </c>
      <c r="E925" t="s">
        <v>116</v>
      </c>
      <c r="F925" t="s">
        <v>139</v>
      </c>
      <c r="G925">
        <v>170</v>
      </c>
      <c r="H925" t="s">
        <v>20</v>
      </c>
      <c r="I925" t="s">
        <v>186</v>
      </c>
      <c r="J925" t="s">
        <v>101</v>
      </c>
      <c r="K925" s="4">
        <v>45.74</v>
      </c>
      <c r="L925" t="s">
        <v>2223</v>
      </c>
      <c r="M925" s="1">
        <v>46096</v>
      </c>
      <c r="N925" t="s">
        <v>24</v>
      </c>
      <c r="O925" t="s">
        <v>25</v>
      </c>
    </row>
    <row r="926" spans="1:15" x14ac:dyDescent="0.25">
      <c r="A926" t="s">
        <v>1193</v>
      </c>
      <c r="B926" t="s">
        <v>70</v>
      </c>
      <c r="C926">
        <v>1993</v>
      </c>
      <c r="D926" t="s">
        <v>71</v>
      </c>
      <c r="E926" t="s">
        <v>116</v>
      </c>
      <c r="F926" t="s">
        <v>296</v>
      </c>
      <c r="G926">
        <v>770</v>
      </c>
      <c r="H926" t="s">
        <v>20</v>
      </c>
      <c r="I926" t="s">
        <v>80</v>
      </c>
      <c r="J926" t="s">
        <v>121</v>
      </c>
      <c r="K926" s="4">
        <v>410.33</v>
      </c>
      <c r="L926" t="s">
        <v>2224</v>
      </c>
      <c r="M926" s="1">
        <v>45893</v>
      </c>
      <c r="N926" t="s">
        <v>75</v>
      </c>
      <c r="O926" t="s">
        <v>33</v>
      </c>
    </row>
    <row r="927" spans="1:15" x14ac:dyDescent="0.25">
      <c r="A927" t="s">
        <v>2225</v>
      </c>
      <c r="B927" t="s">
        <v>59</v>
      </c>
      <c r="C927">
        <v>2021</v>
      </c>
      <c r="D927" t="s">
        <v>89</v>
      </c>
      <c r="E927" t="s">
        <v>45</v>
      </c>
      <c r="F927" t="s">
        <v>167</v>
      </c>
      <c r="G927">
        <v>450</v>
      </c>
      <c r="H927" t="s">
        <v>20</v>
      </c>
      <c r="I927" t="s">
        <v>91</v>
      </c>
      <c r="J927" t="s">
        <v>125</v>
      </c>
      <c r="K927" s="4">
        <v>48.55</v>
      </c>
      <c r="L927" t="s">
        <v>2226</v>
      </c>
      <c r="M927" s="1">
        <v>46060</v>
      </c>
      <c r="N927" t="s">
        <v>24</v>
      </c>
      <c r="O927" t="s">
        <v>25</v>
      </c>
    </row>
    <row r="928" spans="1:15" x14ac:dyDescent="0.25">
      <c r="A928" t="s">
        <v>2227</v>
      </c>
      <c r="B928" t="s">
        <v>35</v>
      </c>
      <c r="C928">
        <v>1991</v>
      </c>
      <c r="D928" t="s">
        <v>95</v>
      </c>
      <c r="E928" t="s">
        <v>72</v>
      </c>
      <c r="F928" t="s">
        <v>851</v>
      </c>
      <c r="G928">
        <v>840</v>
      </c>
      <c r="H928" t="s">
        <v>29</v>
      </c>
      <c r="I928" t="s">
        <v>86</v>
      </c>
      <c r="J928" t="s">
        <v>92</v>
      </c>
      <c r="K928" s="4">
        <v>183.4</v>
      </c>
      <c r="L928" t="s">
        <v>2228</v>
      </c>
      <c r="M928" s="1">
        <v>46472</v>
      </c>
      <c r="N928" t="s">
        <v>75</v>
      </c>
      <c r="O928" t="s">
        <v>51</v>
      </c>
    </row>
    <row r="929" spans="1:15" x14ac:dyDescent="0.25">
      <c r="A929" t="s">
        <v>2229</v>
      </c>
      <c r="B929" t="s">
        <v>98</v>
      </c>
      <c r="C929">
        <v>2001</v>
      </c>
      <c r="D929" t="s">
        <v>71</v>
      </c>
      <c r="E929" t="s">
        <v>54</v>
      </c>
      <c r="F929" t="s">
        <v>139</v>
      </c>
      <c r="G929">
        <v>780</v>
      </c>
      <c r="H929" t="s">
        <v>29</v>
      </c>
      <c r="I929" t="s">
        <v>151</v>
      </c>
      <c r="J929" t="s">
        <v>31</v>
      </c>
      <c r="K929" s="4">
        <v>212.65</v>
      </c>
      <c r="L929" t="s">
        <v>2230</v>
      </c>
      <c r="M929" s="1">
        <v>46254</v>
      </c>
      <c r="N929" t="s">
        <v>24</v>
      </c>
      <c r="O929" t="s">
        <v>33</v>
      </c>
    </row>
    <row r="930" spans="1:15" x14ac:dyDescent="0.25">
      <c r="A930" t="s">
        <v>2231</v>
      </c>
      <c r="B930" t="s">
        <v>134</v>
      </c>
      <c r="C930">
        <v>2006</v>
      </c>
      <c r="D930" t="s">
        <v>95</v>
      </c>
      <c r="E930" t="s">
        <v>45</v>
      </c>
      <c r="F930" t="s">
        <v>2232</v>
      </c>
      <c r="G930">
        <v>200</v>
      </c>
      <c r="H930" t="s">
        <v>47</v>
      </c>
      <c r="I930" t="s">
        <v>39</v>
      </c>
      <c r="J930" t="s">
        <v>22</v>
      </c>
      <c r="K930" s="4">
        <v>135.38999999999999</v>
      </c>
      <c r="L930" t="s">
        <v>2233</v>
      </c>
      <c r="M930" s="1">
        <v>46908</v>
      </c>
      <c r="N930" t="s">
        <v>41</v>
      </c>
      <c r="O930" t="s">
        <v>51</v>
      </c>
    </row>
    <row r="931" spans="1:15" x14ac:dyDescent="0.25">
      <c r="A931" t="s">
        <v>2234</v>
      </c>
      <c r="B931" t="s">
        <v>134</v>
      </c>
      <c r="C931">
        <v>2014</v>
      </c>
      <c r="D931" t="s">
        <v>108</v>
      </c>
      <c r="E931" t="s">
        <v>99</v>
      </c>
      <c r="F931" t="s">
        <v>135</v>
      </c>
      <c r="G931">
        <v>140</v>
      </c>
      <c r="H931" t="s">
        <v>29</v>
      </c>
      <c r="I931" t="s">
        <v>151</v>
      </c>
      <c r="J931" t="s">
        <v>125</v>
      </c>
      <c r="K931" s="4">
        <v>178.35</v>
      </c>
      <c r="L931" t="s">
        <v>2235</v>
      </c>
      <c r="M931" s="1">
        <v>46790</v>
      </c>
      <c r="N931" t="s">
        <v>75</v>
      </c>
      <c r="O931" t="s">
        <v>33</v>
      </c>
    </row>
    <row r="932" spans="1:15" x14ac:dyDescent="0.25">
      <c r="A932" t="s">
        <v>2236</v>
      </c>
      <c r="B932" t="s">
        <v>134</v>
      </c>
      <c r="C932">
        <v>2012</v>
      </c>
      <c r="D932" t="s">
        <v>17</v>
      </c>
      <c r="E932" t="s">
        <v>72</v>
      </c>
      <c r="F932" t="s">
        <v>208</v>
      </c>
      <c r="G932">
        <v>240</v>
      </c>
      <c r="H932" t="s">
        <v>85</v>
      </c>
      <c r="I932" t="s">
        <v>91</v>
      </c>
      <c r="J932" t="s">
        <v>110</v>
      </c>
      <c r="K932" s="4">
        <v>463.09</v>
      </c>
      <c r="L932" t="s">
        <v>2237</v>
      </c>
      <c r="M932" s="1">
        <v>46087</v>
      </c>
      <c r="N932" t="s">
        <v>24</v>
      </c>
      <c r="O932" t="s">
        <v>33</v>
      </c>
    </row>
    <row r="933" spans="1:15" x14ac:dyDescent="0.25">
      <c r="A933" t="s">
        <v>2238</v>
      </c>
      <c r="B933" t="s">
        <v>59</v>
      </c>
      <c r="C933">
        <v>2022</v>
      </c>
      <c r="D933" t="s">
        <v>66</v>
      </c>
      <c r="E933" t="s">
        <v>119</v>
      </c>
      <c r="F933" t="s">
        <v>208</v>
      </c>
      <c r="G933">
        <v>150</v>
      </c>
      <c r="H933" t="s">
        <v>38</v>
      </c>
      <c r="I933" t="s">
        <v>186</v>
      </c>
      <c r="J933" t="s">
        <v>63</v>
      </c>
      <c r="K933" s="4">
        <v>348.75</v>
      </c>
      <c r="L933" t="s">
        <v>2239</v>
      </c>
      <c r="M933" s="1">
        <v>46794</v>
      </c>
      <c r="N933" t="s">
        <v>75</v>
      </c>
      <c r="O933" t="s">
        <v>33</v>
      </c>
    </row>
    <row r="934" spans="1:15" x14ac:dyDescent="0.25">
      <c r="A934" t="s">
        <v>2240</v>
      </c>
      <c r="B934" t="s">
        <v>35</v>
      </c>
      <c r="C934">
        <v>1995</v>
      </c>
      <c r="D934" t="s">
        <v>108</v>
      </c>
      <c r="E934" t="s">
        <v>60</v>
      </c>
      <c r="F934" t="s">
        <v>208</v>
      </c>
      <c r="G934">
        <v>70</v>
      </c>
      <c r="H934" t="s">
        <v>47</v>
      </c>
      <c r="I934" t="s">
        <v>86</v>
      </c>
      <c r="J934" t="s">
        <v>92</v>
      </c>
      <c r="K934" s="4">
        <v>356.16</v>
      </c>
      <c r="L934" t="s">
        <v>2241</v>
      </c>
      <c r="M934" s="1">
        <v>46883</v>
      </c>
      <c r="N934" t="s">
        <v>75</v>
      </c>
      <c r="O934" t="s">
        <v>25</v>
      </c>
    </row>
    <row r="935" spans="1:15" x14ac:dyDescent="0.25">
      <c r="A935" t="s">
        <v>2242</v>
      </c>
      <c r="B935" t="s">
        <v>138</v>
      </c>
      <c r="C935">
        <v>2023</v>
      </c>
      <c r="D935" t="s">
        <v>66</v>
      </c>
      <c r="E935" t="s">
        <v>54</v>
      </c>
      <c r="F935" t="s">
        <v>2243</v>
      </c>
      <c r="G935">
        <v>980</v>
      </c>
      <c r="H935" t="s">
        <v>38</v>
      </c>
      <c r="I935" t="s">
        <v>91</v>
      </c>
      <c r="J935" t="s">
        <v>22</v>
      </c>
      <c r="K935" s="4">
        <v>5.01</v>
      </c>
      <c r="L935" t="s">
        <v>2244</v>
      </c>
      <c r="M935" s="1">
        <v>46518</v>
      </c>
      <c r="N935" t="s">
        <v>41</v>
      </c>
      <c r="O935" t="s">
        <v>33</v>
      </c>
    </row>
    <row r="936" spans="1:15" x14ac:dyDescent="0.25">
      <c r="A936" t="s">
        <v>369</v>
      </c>
      <c r="B936" t="s">
        <v>43</v>
      </c>
      <c r="C936">
        <v>1991</v>
      </c>
      <c r="D936" t="s">
        <v>71</v>
      </c>
      <c r="E936" t="s">
        <v>45</v>
      </c>
      <c r="F936" t="s">
        <v>131</v>
      </c>
      <c r="G936">
        <v>110</v>
      </c>
      <c r="H936" t="s">
        <v>38</v>
      </c>
      <c r="I936" t="s">
        <v>91</v>
      </c>
      <c r="J936" t="s">
        <v>101</v>
      </c>
      <c r="K936" s="4">
        <v>450.98</v>
      </c>
      <c r="L936" t="s">
        <v>2245</v>
      </c>
      <c r="M936" s="1">
        <v>46641</v>
      </c>
      <c r="N936" t="s">
        <v>24</v>
      </c>
      <c r="O936" t="s">
        <v>51</v>
      </c>
    </row>
    <row r="937" spans="1:15" x14ac:dyDescent="0.25">
      <c r="A937" t="s">
        <v>1182</v>
      </c>
      <c r="B937" t="s">
        <v>35</v>
      </c>
      <c r="C937">
        <v>2013</v>
      </c>
      <c r="D937" t="s">
        <v>36</v>
      </c>
      <c r="E937" t="s">
        <v>18</v>
      </c>
      <c r="F937" t="s">
        <v>1456</v>
      </c>
      <c r="G937">
        <v>530</v>
      </c>
      <c r="H937" t="s">
        <v>47</v>
      </c>
      <c r="I937" t="s">
        <v>151</v>
      </c>
      <c r="J937" t="s">
        <v>92</v>
      </c>
      <c r="K937" s="4">
        <v>376.21</v>
      </c>
      <c r="L937" t="s">
        <v>2246</v>
      </c>
      <c r="M937" s="1">
        <v>45920</v>
      </c>
      <c r="N937" t="s">
        <v>75</v>
      </c>
      <c r="O937" t="s">
        <v>33</v>
      </c>
    </row>
    <row r="938" spans="1:15" x14ac:dyDescent="0.25">
      <c r="A938" t="s">
        <v>2247</v>
      </c>
      <c r="B938" t="s">
        <v>35</v>
      </c>
      <c r="C938">
        <v>2004</v>
      </c>
      <c r="D938" t="s">
        <v>83</v>
      </c>
      <c r="E938" t="s">
        <v>116</v>
      </c>
      <c r="F938" t="s">
        <v>162</v>
      </c>
      <c r="G938">
        <v>780</v>
      </c>
      <c r="H938" t="s">
        <v>47</v>
      </c>
      <c r="I938" t="s">
        <v>86</v>
      </c>
      <c r="J938" t="s">
        <v>121</v>
      </c>
      <c r="K938" s="4">
        <v>62.56</v>
      </c>
      <c r="L938" t="s">
        <v>2248</v>
      </c>
      <c r="M938" s="1">
        <v>46808</v>
      </c>
      <c r="N938" t="s">
        <v>41</v>
      </c>
      <c r="O938" t="s">
        <v>25</v>
      </c>
    </row>
    <row r="939" spans="1:15" x14ac:dyDescent="0.25">
      <c r="A939" t="s">
        <v>2249</v>
      </c>
      <c r="B939" t="s">
        <v>35</v>
      </c>
      <c r="C939">
        <v>2003</v>
      </c>
      <c r="D939" t="s">
        <v>95</v>
      </c>
      <c r="E939" t="s">
        <v>54</v>
      </c>
      <c r="F939" t="s">
        <v>712</v>
      </c>
      <c r="G939">
        <v>10</v>
      </c>
      <c r="H939" t="s">
        <v>29</v>
      </c>
      <c r="I939" t="s">
        <v>91</v>
      </c>
      <c r="J939" t="s">
        <v>146</v>
      </c>
      <c r="K939" s="4">
        <v>307.64</v>
      </c>
      <c r="L939" t="s">
        <v>2250</v>
      </c>
      <c r="M939" s="1">
        <v>46720</v>
      </c>
      <c r="N939" t="s">
        <v>41</v>
      </c>
      <c r="O939" t="s">
        <v>51</v>
      </c>
    </row>
    <row r="940" spans="1:15" x14ac:dyDescent="0.25">
      <c r="A940" t="s">
        <v>2251</v>
      </c>
      <c r="B940" t="s">
        <v>43</v>
      </c>
      <c r="C940">
        <v>2003</v>
      </c>
      <c r="D940" t="s">
        <v>95</v>
      </c>
      <c r="E940" t="s">
        <v>104</v>
      </c>
      <c r="F940" t="s">
        <v>2252</v>
      </c>
      <c r="G940">
        <v>650</v>
      </c>
      <c r="H940" t="s">
        <v>62</v>
      </c>
      <c r="I940" t="s">
        <v>91</v>
      </c>
      <c r="J940" t="s">
        <v>92</v>
      </c>
      <c r="K940" s="4">
        <v>86.91</v>
      </c>
      <c r="L940" t="s">
        <v>2253</v>
      </c>
      <c r="M940" s="1">
        <v>46725</v>
      </c>
      <c r="N940" t="s">
        <v>41</v>
      </c>
      <c r="O940" t="s">
        <v>33</v>
      </c>
    </row>
    <row r="941" spans="1:15" x14ac:dyDescent="0.25">
      <c r="A941" t="s">
        <v>2254</v>
      </c>
      <c r="B941" t="s">
        <v>16</v>
      </c>
      <c r="C941">
        <v>1997</v>
      </c>
      <c r="D941" t="s">
        <v>89</v>
      </c>
      <c r="E941" t="s">
        <v>54</v>
      </c>
      <c r="F941" t="s">
        <v>180</v>
      </c>
      <c r="G941">
        <v>870</v>
      </c>
      <c r="H941" t="s">
        <v>85</v>
      </c>
      <c r="I941" t="s">
        <v>39</v>
      </c>
      <c r="J941" t="s">
        <v>101</v>
      </c>
      <c r="K941" s="4">
        <v>324.83</v>
      </c>
      <c r="L941" t="s">
        <v>2255</v>
      </c>
      <c r="M941" s="1">
        <v>46570</v>
      </c>
      <c r="N941" t="s">
        <v>41</v>
      </c>
      <c r="O941" t="s">
        <v>33</v>
      </c>
    </row>
    <row r="942" spans="1:15" x14ac:dyDescent="0.25">
      <c r="A942" t="s">
        <v>2256</v>
      </c>
      <c r="B942" t="s">
        <v>35</v>
      </c>
      <c r="C942">
        <v>1994</v>
      </c>
      <c r="D942" t="s">
        <v>36</v>
      </c>
      <c r="E942" t="s">
        <v>78</v>
      </c>
      <c r="F942" t="s">
        <v>135</v>
      </c>
      <c r="G942">
        <v>400</v>
      </c>
      <c r="H942" t="s">
        <v>47</v>
      </c>
      <c r="I942" t="s">
        <v>86</v>
      </c>
      <c r="J942" t="s">
        <v>146</v>
      </c>
      <c r="K942" s="4">
        <v>245.91</v>
      </c>
      <c r="L942" t="s">
        <v>2257</v>
      </c>
      <c r="M942" s="1">
        <v>46132</v>
      </c>
      <c r="N942" t="s">
        <v>75</v>
      </c>
      <c r="O942" t="s">
        <v>25</v>
      </c>
    </row>
    <row r="943" spans="1:15" x14ac:dyDescent="0.25">
      <c r="A943" t="s">
        <v>2258</v>
      </c>
      <c r="B943" t="s">
        <v>70</v>
      </c>
      <c r="C943">
        <v>2009</v>
      </c>
      <c r="D943" t="s">
        <v>108</v>
      </c>
      <c r="E943" t="s">
        <v>78</v>
      </c>
      <c r="F943" t="s">
        <v>1103</v>
      </c>
      <c r="G943">
        <v>450</v>
      </c>
      <c r="H943" t="s">
        <v>85</v>
      </c>
      <c r="I943" t="s">
        <v>73</v>
      </c>
      <c r="J943" t="s">
        <v>121</v>
      </c>
      <c r="K943" s="4">
        <v>494.35</v>
      </c>
      <c r="L943" t="s">
        <v>2259</v>
      </c>
      <c r="M943" s="1">
        <v>46303</v>
      </c>
      <c r="N943" t="s">
        <v>41</v>
      </c>
      <c r="O943" t="s">
        <v>25</v>
      </c>
    </row>
    <row r="944" spans="1:15" x14ac:dyDescent="0.25">
      <c r="A944" t="s">
        <v>409</v>
      </c>
      <c r="B944" t="s">
        <v>138</v>
      </c>
      <c r="C944">
        <v>2019</v>
      </c>
      <c r="D944" t="s">
        <v>27</v>
      </c>
      <c r="E944" t="s">
        <v>72</v>
      </c>
      <c r="F944" t="s">
        <v>2260</v>
      </c>
      <c r="G944">
        <v>300</v>
      </c>
      <c r="H944" t="s">
        <v>38</v>
      </c>
      <c r="I944" t="s">
        <v>48</v>
      </c>
      <c r="J944" t="s">
        <v>92</v>
      </c>
      <c r="K944" s="4">
        <v>271.70999999999998</v>
      </c>
      <c r="L944" t="s">
        <v>2261</v>
      </c>
      <c r="M944" s="1">
        <v>46576</v>
      </c>
      <c r="N944" t="s">
        <v>24</v>
      </c>
      <c r="O944" t="s">
        <v>33</v>
      </c>
    </row>
    <row r="945" spans="1:15" x14ac:dyDescent="0.25">
      <c r="A945" t="s">
        <v>2262</v>
      </c>
      <c r="B945" t="s">
        <v>70</v>
      </c>
      <c r="C945">
        <v>2011</v>
      </c>
      <c r="D945" t="s">
        <v>66</v>
      </c>
      <c r="E945" t="s">
        <v>99</v>
      </c>
      <c r="F945" t="s">
        <v>317</v>
      </c>
      <c r="G945">
        <v>590</v>
      </c>
      <c r="H945" t="s">
        <v>29</v>
      </c>
      <c r="I945" t="s">
        <v>86</v>
      </c>
      <c r="J945" t="s">
        <v>110</v>
      </c>
      <c r="K945" s="4">
        <v>218.44</v>
      </c>
      <c r="L945" t="s">
        <v>2263</v>
      </c>
      <c r="M945" s="1">
        <v>46767</v>
      </c>
      <c r="N945" t="s">
        <v>75</v>
      </c>
      <c r="O945" t="s">
        <v>25</v>
      </c>
    </row>
    <row r="946" spans="1:15" x14ac:dyDescent="0.25">
      <c r="A946" t="s">
        <v>2264</v>
      </c>
      <c r="B946" t="s">
        <v>59</v>
      </c>
      <c r="C946">
        <v>2017</v>
      </c>
      <c r="D946" t="s">
        <v>17</v>
      </c>
      <c r="E946" t="s">
        <v>104</v>
      </c>
      <c r="F946" t="s">
        <v>286</v>
      </c>
      <c r="G946">
        <v>560</v>
      </c>
      <c r="H946" t="s">
        <v>38</v>
      </c>
      <c r="I946" t="s">
        <v>80</v>
      </c>
      <c r="J946" t="s">
        <v>49</v>
      </c>
      <c r="K946" s="4">
        <v>334.06</v>
      </c>
      <c r="L946" t="s">
        <v>2265</v>
      </c>
      <c r="M946" s="1">
        <v>46675</v>
      </c>
      <c r="N946" t="s">
        <v>24</v>
      </c>
      <c r="O946" t="s">
        <v>25</v>
      </c>
    </row>
    <row r="947" spans="1:15" x14ac:dyDescent="0.25">
      <c r="A947" t="s">
        <v>2266</v>
      </c>
      <c r="B947" t="s">
        <v>16</v>
      </c>
      <c r="C947">
        <v>2010</v>
      </c>
      <c r="D947" t="s">
        <v>71</v>
      </c>
      <c r="E947" t="s">
        <v>60</v>
      </c>
      <c r="F947" t="s">
        <v>135</v>
      </c>
      <c r="G947">
        <v>80</v>
      </c>
      <c r="H947" t="s">
        <v>47</v>
      </c>
      <c r="I947" t="s">
        <v>80</v>
      </c>
      <c r="J947" t="s">
        <v>146</v>
      </c>
      <c r="K947" s="4">
        <v>437.79</v>
      </c>
      <c r="L947" t="s">
        <v>2267</v>
      </c>
      <c r="M947" s="1">
        <v>46820</v>
      </c>
      <c r="N947" t="s">
        <v>75</v>
      </c>
      <c r="O947" t="s">
        <v>33</v>
      </c>
    </row>
    <row r="948" spans="1:15" x14ac:dyDescent="0.25">
      <c r="A948" t="s">
        <v>2268</v>
      </c>
      <c r="B948" t="s">
        <v>77</v>
      </c>
      <c r="C948">
        <v>2018</v>
      </c>
      <c r="D948" t="s">
        <v>89</v>
      </c>
      <c r="E948" t="s">
        <v>18</v>
      </c>
      <c r="F948" t="s">
        <v>372</v>
      </c>
      <c r="G948">
        <v>630</v>
      </c>
      <c r="H948" t="s">
        <v>56</v>
      </c>
      <c r="I948" t="s">
        <v>39</v>
      </c>
      <c r="J948" t="s">
        <v>110</v>
      </c>
      <c r="K948" s="4">
        <v>145.68</v>
      </c>
      <c r="L948" t="s">
        <v>2269</v>
      </c>
      <c r="M948" s="1">
        <v>45877</v>
      </c>
      <c r="N948" t="s">
        <v>75</v>
      </c>
      <c r="O948" t="s">
        <v>25</v>
      </c>
    </row>
    <row r="949" spans="1:15" x14ac:dyDescent="0.25">
      <c r="A949" t="s">
        <v>2270</v>
      </c>
      <c r="B949" t="s">
        <v>70</v>
      </c>
      <c r="C949">
        <v>2020</v>
      </c>
      <c r="D949" t="s">
        <v>89</v>
      </c>
      <c r="E949" t="s">
        <v>104</v>
      </c>
      <c r="F949" t="s">
        <v>764</v>
      </c>
      <c r="G949">
        <v>850</v>
      </c>
      <c r="H949" t="s">
        <v>29</v>
      </c>
      <c r="I949" t="s">
        <v>39</v>
      </c>
      <c r="J949" t="s">
        <v>63</v>
      </c>
      <c r="K949" s="4">
        <v>237.56</v>
      </c>
      <c r="L949" t="s">
        <v>2271</v>
      </c>
      <c r="M949" s="1">
        <v>46839</v>
      </c>
      <c r="N949" t="s">
        <v>75</v>
      </c>
      <c r="O949" t="s">
        <v>25</v>
      </c>
    </row>
    <row r="950" spans="1:15" x14ac:dyDescent="0.25">
      <c r="A950" t="s">
        <v>2272</v>
      </c>
      <c r="B950" t="s">
        <v>70</v>
      </c>
      <c r="C950">
        <v>2003</v>
      </c>
      <c r="D950" t="s">
        <v>17</v>
      </c>
      <c r="E950" t="s">
        <v>54</v>
      </c>
      <c r="F950" t="s">
        <v>46</v>
      </c>
      <c r="G950">
        <v>60</v>
      </c>
      <c r="H950" t="s">
        <v>38</v>
      </c>
      <c r="I950" t="s">
        <v>186</v>
      </c>
      <c r="J950" t="s">
        <v>110</v>
      </c>
      <c r="K950" s="4">
        <v>163.12</v>
      </c>
      <c r="L950" t="s">
        <v>2273</v>
      </c>
      <c r="M950" s="1">
        <v>46882</v>
      </c>
      <c r="N950" t="s">
        <v>41</v>
      </c>
      <c r="O950" t="s">
        <v>51</v>
      </c>
    </row>
    <row r="951" spans="1:15" x14ac:dyDescent="0.25">
      <c r="A951" t="s">
        <v>917</v>
      </c>
      <c r="B951" t="s">
        <v>53</v>
      </c>
      <c r="C951">
        <v>2004</v>
      </c>
      <c r="D951" t="s">
        <v>36</v>
      </c>
      <c r="E951" t="s">
        <v>78</v>
      </c>
      <c r="F951" t="s">
        <v>273</v>
      </c>
      <c r="G951">
        <v>40</v>
      </c>
      <c r="H951" t="s">
        <v>20</v>
      </c>
      <c r="I951" t="s">
        <v>21</v>
      </c>
      <c r="J951" t="s">
        <v>22</v>
      </c>
      <c r="K951" s="4">
        <v>318.95999999999998</v>
      </c>
      <c r="L951" t="s">
        <v>2274</v>
      </c>
      <c r="M951" s="1">
        <v>46692</v>
      </c>
      <c r="N951" t="s">
        <v>41</v>
      </c>
      <c r="O951" t="s">
        <v>51</v>
      </c>
    </row>
    <row r="952" spans="1:15" x14ac:dyDescent="0.25">
      <c r="A952" t="s">
        <v>2275</v>
      </c>
      <c r="B952" t="s">
        <v>59</v>
      </c>
      <c r="C952">
        <v>2022</v>
      </c>
      <c r="D952" t="s">
        <v>17</v>
      </c>
      <c r="E952" t="s">
        <v>104</v>
      </c>
      <c r="F952" t="s">
        <v>2276</v>
      </c>
      <c r="G952">
        <v>280</v>
      </c>
      <c r="H952" t="s">
        <v>38</v>
      </c>
      <c r="I952" t="s">
        <v>80</v>
      </c>
      <c r="J952" t="s">
        <v>63</v>
      </c>
      <c r="K952" s="4">
        <v>186.23</v>
      </c>
      <c r="L952" t="s">
        <v>2277</v>
      </c>
      <c r="M952" s="1">
        <v>46470</v>
      </c>
      <c r="N952" t="s">
        <v>75</v>
      </c>
      <c r="O952" t="s">
        <v>25</v>
      </c>
    </row>
    <row r="953" spans="1:15" x14ac:dyDescent="0.25">
      <c r="A953" t="s">
        <v>2278</v>
      </c>
      <c r="B953" t="s">
        <v>59</v>
      </c>
      <c r="C953">
        <v>2022</v>
      </c>
      <c r="D953" t="s">
        <v>108</v>
      </c>
      <c r="E953" t="s">
        <v>18</v>
      </c>
      <c r="F953" t="s">
        <v>67</v>
      </c>
      <c r="G953">
        <v>700</v>
      </c>
      <c r="H953" t="s">
        <v>29</v>
      </c>
      <c r="I953" t="s">
        <v>73</v>
      </c>
      <c r="J953" t="s">
        <v>146</v>
      </c>
      <c r="K953" s="4">
        <v>11.89</v>
      </c>
      <c r="L953" t="s">
        <v>2279</v>
      </c>
      <c r="M953" s="1">
        <v>46252</v>
      </c>
      <c r="N953" t="s">
        <v>24</v>
      </c>
      <c r="O953" t="s">
        <v>51</v>
      </c>
    </row>
    <row r="954" spans="1:15" x14ac:dyDescent="0.25">
      <c r="A954" t="s">
        <v>2280</v>
      </c>
      <c r="B954" t="s">
        <v>59</v>
      </c>
      <c r="C954">
        <v>1996</v>
      </c>
      <c r="D954" t="s">
        <v>83</v>
      </c>
      <c r="E954" t="s">
        <v>116</v>
      </c>
      <c r="F954" t="s">
        <v>276</v>
      </c>
      <c r="G954">
        <v>270</v>
      </c>
      <c r="H954" t="s">
        <v>62</v>
      </c>
      <c r="I954" t="s">
        <v>80</v>
      </c>
      <c r="J954" t="s">
        <v>125</v>
      </c>
      <c r="K954" s="4">
        <v>406.77</v>
      </c>
      <c r="L954" t="s">
        <v>2281</v>
      </c>
      <c r="M954" s="1">
        <v>46023</v>
      </c>
      <c r="N954" t="s">
        <v>24</v>
      </c>
      <c r="O954" t="s">
        <v>25</v>
      </c>
    </row>
    <row r="955" spans="1:15" x14ac:dyDescent="0.25">
      <c r="A955" t="s">
        <v>2282</v>
      </c>
      <c r="B955" t="s">
        <v>35</v>
      </c>
      <c r="C955">
        <v>2001</v>
      </c>
      <c r="D955" t="s">
        <v>36</v>
      </c>
      <c r="E955" t="s">
        <v>78</v>
      </c>
      <c r="F955" t="s">
        <v>79</v>
      </c>
      <c r="G955">
        <v>30</v>
      </c>
      <c r="H955" t="s">
        <v>85</v>
      </c>
      <c r="I955" t="s">
        <v>151</v>
      </c>
      <c r="J955" t="s">
        <v>92</v>
      </c>
      <c r="K955" s="4">
        <v>28.62</v>
      </c>
      <c r="L955" t="s">
        <v>2283</v>
      </c>
      <c r="M955" s="1">
        <v>46570</v>
      </c>
      <c r="N955" t="s">
        <v>75</v>
      </c>
      <c r="O955" t="s">
        <v>33</v>
      </c>
    </row>
    <row r="956" spans="1:15" x14ac:dyDescent="0.25">
      <c r="A956" t="s">
        <v>2284</v>
      </c>
      <c r="B956" t="s">
        <v>77</v>
      </c>
      <c r="C956">
        <v>2017</v>
      </c>
      <c r="D956" t="s">
        <v>89</v>
      </c>
      <c r="E956" t="s">
        <v>119</v>
      </c>
      <c r="F956" t="s">
        <v>180</v>
      </c>
      <c r="G956">
        <v>580</v>
      </c>
      <c r="H956" t="s">
        <v>85</v>
      </c>
      <c r="I956" t="s">
        <v>91</v>
      </c>
      <c r="J956" t="s">
        <v>63</v>
      </c>
      <c r="K956" s="4">
        <v>230.28</v>
      </c>
      <c r="L956" t="s">
        <v>2285</v>
      </c>
      <c r="M956" s="1">
        <v>46402</v>
      </c>
      <c r="N956" t="s">
        <v>75</v>
      </c>
      <c r="O956" t="s">
        <v>51</v>
      </c>
    </row>
    <row r="957" spans="1:15" x14ac:dyDescent="0.25">
      <c r="A957" t="s">
        <v>2286</v>
      </c>
      <c r="B957" t="s">
        <v>53</v>
      </c>
      <c r="C957">
        <v>1993</v>
      </c>
      <c r="D957" t="s">
        <v>66</v>
      </c>
      <c r="E957" t="s">
        <v>45</v>
      </c>
      <c r="F957" t="s">
        <v>28</v>
      </c>
      <c r="G957">
        <v>490</v>
      </c>
      <c r="H957" t="s">
        <v>20</v>
      </c>
      <c r="I957" t="s">
        <v>73</v>
      </c>
      <c r="J957" t="s">
        <v>22</v>
      </c>
      <c r="K957" s="4">
        <v>50.12</v>
      </c>
      <c r="L957" t="s">
        <v>2287</v>
      </c>
      <c r="M957" s="1">
        <v>46414</v>
      </c>
      <c r="N957" t="s">
        <v>41</v>
      </c>
      <c r="O957" t="s">
        <v>51</v>
      </c>
    </row>
    <row r="958" spans="1:15" x14ac:dyDescent="0.25">
      <c r="A958" t="s">
        <v>2288</v>
      </c>
      <c r="B958" t="s">
        <v>59</v>
      </c>
      <c r="C958">
        <v>2013</v>
      </c>
      <c r="D958" t="s">
        <v>89</v>
      </c>
      <c r="E958" t="s">
        <v>18</v>
      </c>
      <c r="F958" t="s">
        <v>67</v>
      </c>
      <c r="G958">
        <v>10</v>
      </c>
      <c r="H958" t="s">
        <v>47</v>
      </c>
      <c r="I958" t="s">
        <v>73</v>
      </c>
      <c r="J958" t="s">
        <v>146</v>
      </c>
      <c r="K958" s="4">
        <v>109.47</v>
      </c>
      <c r="L958" t="s">
        <v>2289</v>
      </c>
      <c r="M958" s="1">
        <v>46272</v>
      </c>
      <c r="N958" t="s">
        <v>41</v>
      </c>
      <c r="O958" t="s">
        <v>33</v>
      </c>
    </row>
    <row r="959" spans="1:15" x14ac:dyDescent="0.25">
      <c r="A959" t="s">
        <v>2290</v>
      </c>
      <c r="B959" t="s">
        <v>53</v>
      </c>
      <c r="C959">
        <v>2017</v>
      </c>
      <c r="D959" t="s">
        <v>95</v>
      </c>
      <c r="E959" t="s">
        <v>78</v>
      </c>
      <c r="F959" t="s">
        <v>67</v>
      </c>
      <c r="G959">
        <v>440</v>
      </c>
      <c r="H959" t="s">
        <v>29</v>
      </c>
      <c r="I959" t="s">
        <v>21</v>
      </c>
      <c r="J959" t="s">
        <v>31</v>
      </c>
      <c r="K959" s="4">
        <v>297.01</v>
      </c>
      <c r="L959" t="s">
        <v>2291</v>
      </c>
      <c r="M959" s="1">
        <v>46906</v>
      </c>
      <c r="N959" t="s">
        <v>75</v>
      </c>
      <c r="O959" t="s">
        <v>51</v>
      </c>
    </row>
    <row r="960" spans="1:15" x14ac:dyDescent="0.25">
      <c r="A960" t="s">
        <v>2292</v>
      </c>
      <c r="B960" t="s">
        <v>59</v>
      </c>
      <c r="C960">
        <v>1997</v>
      </c>
      <c r="D960" t="s">
        <v>71</v>
      </c>
      <c r="E960" t="s">
        <v>99</v>
      </c>
      <c r="F960" t="s">
        <v>162</v>
      </c>
      <c r="G960">
        <v>150</v>
      </c>
      <c r="H960" t="s">
        <v>62</v>
      </c>
      <c r="I960" t="s">
        <v>86</v>
      </c>
      <c r="J960" t="s">
        <v>101</v>
      </c>
      <c r="K960" s="4">
        <v>452.53</v>
      </c>
      <c r="L960" t="s">
        <v>2293</v>
      </c>
      <c r="M960" s="1">
        <v>46466</v>
      </c>
      <c r="N960" t="s">
        <v>24</v>
      </c>
      <c r="O960" t="s">
        <v>33</v>
      </c>
    </row>
    <row r="961" spans="1:15" x14ac:dyDescent="0.25">
      <c r="A961" t="s">
        <v>2294</v>
      </c>
      <c r="B961" t="s">
        <v>43</v>
      </c>
      <c r="C961">
        <v>2008</v>
      </c>
      <c r="D961" t="s">
        <v>71</v>
      </c>
      <c r="E961" t="s">
        <v>119</v>
      </c>
      <c r="F961" t="s">
        <v>208</v>
      </c>
      <c r="G961">
        <v>710</v>
      </c>
      <c r="H961" t="s">
        <v>29</v>
      </c>
      <c r="I961" t="s">
        <v>86</v>
      </c>
      <c r="J961" t="s">
        <v>22</v>
      </c>
      <c r="K961" s="4">
        <v>498.57</v>
      </c>
      <c r="L961" t="s">
        <v>2295</v>
      </c>
      <c r="M961" s="1">
        <v>46847</v>
      </c>
      <c r="N961" t="s">
        <v>24</v>
      </c>
      <c r="O961" t="s">
        <v>33</v>
      </c>
    </row>
    <row r="962" spans="1:15" x14ac:dyDescent="0.25">
      <c r="A962" t="s">
        <v>2296</v>
      </c>
      <c r="B962" t="s">
        <v>53</v>
      </c>
      <c r="C962">
        <v>2005</v>
      </c>
      <c r="D962" t="s">
        <v>83</v>
      </c>
      <c r="E962" t="s">
        <v>72</v>
      </c>
      <c r="F962" t="s">
        <v>2297</v>
      </c>
      <c r="G962">
        <v>920</v>
      </c>
      <c r="H962" t="s">
        <v>85</v>
      </c>
      <c r="I962" t="s">
        <v>48</v>
      </c>
      <c r="J962" t="s">
        <v>125</v>
      </c>
      <c r="K962" s="4">
        <v>99.97</v>
      </c>
      <c r="L962" t="s">
        <v>2298</v>
      </c>
      <c r="M962" s="1">
        <v>45872</v>
      </c>
      <c r="N962" t="s">
        <v>24</v>
      </c>
      <c r="O962" t="s">
        <v>25</v>
      </c>
    </row>
    <row r="963" spans="1:15" x14ac:dyDescent="0.25">
      <c r="A963" t="s">
        <v>2299</v>
      </c>
      <c r="B963" t="s">
        <v>16</v>
      </c>
      <c r="C963">
        <v>1999</v>
      </c>
      <c r="D963" t="s">
        <v>108</v>
      </c>
      <c r="E963" t="s">
        <v>45</v>
      </c>
      <c r="F963" t="s">
        <v>2300</v>
      </c>
      <c r="G963">
        <v>660</v>
      </c>
      <c r="H963" t="s">
        <v>56</v>
      </c>
      <c r="I963" t="s">
        <v>39</v>
      </c>
      <c r="J963" t="s">
        <v>146</v>
      </c>
      <c r="K963" s="4">
        <v>196.93</v>
      </c>
      <c r="L963" t="s">
        <v>2301</v>
      </c>
      <c r="M963" s="1">
        <v>45885</v>
      </c>
      <c r="N963" t="s">
        <v>75</v>
      </c>
      <c r="O963" t="s">
        <v>51</v>
      </c>
    </row>
    <row r="964" spans="1:15" x14ac:dyDescent="0.25">
      <c r="A964" t="s">
        <v>2302</v>
      </c>
      <c r="B964" t="s">
        <v>134</v>
      </c>
      <c r="C964">
        <v>2020</v>
      </c>
      <c r="D964" t="s">
        <v>83</v>
      </c>
      <c r="E964" t="s">
        <v>54</v>
      </c>
      <c r="F964" t="s">
        <v>90</v>
      </c>
      <c r="G964">
        <v>680</v>
      </c>
      <c r="H964" t="s">
        <v>29</v>
      </c>
      <c r="I964" t="s">
        <v>39</v>
      </c>
      <c r="J964" t="s">
        <v>101</v>
      </c>
      <c r="K964" s="4">
        <v>68.31</v>
      </c>
      <c r="L964" t="s">
        <v>2303</v>
      </c>
      <c r="M964" s="1">
        <v>46473</v>
      </c>
      <c r="N964" t="s">
        <v>75</v>
      </c>
      <c r="O964" t="s">
        <v>25</v>
      </c>
    </row>
    <row r="965" spans="1:15" x14ac:dyDescent="0.25">
      <c r="A965" t="s">
        <v>2304</v>
      </c>
      <c r="B965" t="s">
        <v>70</v>
      </c>
      <c r="C965">
        <v>1999</v>
      </c>
      <c r="D965" t="s">
        <v>36</v>
      </c>
      <c r="E965" t="s">
        <v>45</v>
      </c>
      <c r="F965" t="s">
        <v>189</v>
      </c>
      <c r="G965">
        <v>500</v>
      </c>
      <c r="H965" t="s">
        <v>29</v>
      </c>
      <c r="I965" t="s">
        <v>73</v>
      </c>
      <c r="J965" t="s">
        <v>110</v>
      </c>
      <c r="K965" s="4">
        <v>209.69</v>
      </c>
      <c r="L965" t="s">
        <v>2305</v>
      </c>
      <c r="M965" s="1">
        <v>46354</v>
      </c>
      <c r="N965" t="s">
        <v>24</v>
      </c>
      <c r="O965" t="s">
        <v>25</v>
      </c>
    </row>
    <row r="966" spans="1:15" x14ac:dyDescent="0.25">
      <c r="A966" t="s">
        <v>2306</v>
      </c>
      <c r="B966" t="s">
        <v>35</v>
      </c>
      <c r="C966">
        <v>2011</v>
      </c>
      <c r="D966" t="s">
        <v>17</v>
      </c>
      <c r="E966" t="s">
        <v>60</v>
      </c>
      <c r="F966" t="s">
        <v>79</v>
      </c>
      <c r="G966">
        <v>330</v>
      </c>
      <c r="H966" t="s">
        <v>85</v>
      </c>
      <c r="I966" t="s">
        <v>86</v>
      </c>
      <c r="J966" t="s">
        <v>110</v>
      </c>
      <c r="K966" s="4">
        <v>401.64</v>
      </c>
      <c r="L966" t="s">
        <v>2307</v>
      </c>
      <c r="M966" s="1">
        <v>46459</v>
      </c>
      <c r="N966" t="s">
        <v>75</v>
      </c>
      <c r="O966" t="s">
        <v>51</v>
      </c>
    </row>
    <row r="967" spans="1:15" x14ac:dyDescent="0.25">
      <c r="A967" t="s">
        <v>2308</v>
      </c>
      <c r="B967" t="s">
        <v>70</v>
      </c>
      <c r="C967">
        <v>2018</v>
      </c>
      <c r="D967" t="s">
        <v>95</v>
      </c>
      <c r="E967" t="s">
        <v>18</v>
      </c>
      <c r="F967" t="s">
        <v>2309</v>
      </c>
      <c r="G967">
        <v>310</v>
      </c>
      <c r="H967" t="s">
        <v>38</v>
      </c>
      <c r="I967" t="s">
        <v>86</v>
      </c>
      <c r="J967" t="s">
        <v>92</v>
      </c>
      <c r="K967" s="4">
        <v>330.73</v>
      </c>
      <c r="L967" t="s">
        <v>2310</v>
      </c>
      <c r="M967" s="1">
        <v>46923</v>
      </c>
      <c r="N967" t="s">
        <v>41</v>
      </c>
      <c r="O967" t="s">
        <v>25</v>
      </c>
    </row>
    <row r="968" spans="1:15" x14ac:dyDescent="0.25">
      <c r="A968" t="s">
        <v>2311</v>
      </c>
      <c r="B968" t="s">
        <v>77</v>
      </c>
      <c r="C968">
        <v>1992</v>
      </c>
      <c r="D968" t="s">
        <v>27</v>
      </c>
      <c r="E968" t="s">
        <v>104</v>
      </c>
      <c r="F968" t="s">
        <v>2312</v>
      </c>
      <c r="G968">
        <v>950</v>
      </c>
      <c r="H968" t="s">
        <v>20</v>
      </c>
      <c r="I968" t="s">
        <v>21</v>
      </c>
      <c r="J968" t="s">
        <v>110</v>
      </c>
      <c r="K968" s="4">
        <v>174.37</v>
      </c>
      <c r="L968" t="s">
        <v>2313</v>
      </c>
      <c r="M968" s="1">
        <v>46219</v>
      </c>
      <c r="N968" t="s">
        <v>24</v>
      </c>
      <c r="O968" t="s">
        <v>51</v>
      </c>
    </row>
    <row r="969" spans="1:15" x14ac:dyDescent="0.25">
      <c r="A969" t="s">
        <v>2314</v>
      </c>
      <c r="B969" t="s">
        <v>53</v>
      </c>
      <c r="C969">
        <v>2009</v>
      </c>
      <c r="D969" t="s">
        <v>108</v>
      </c>
      <c r="E969" t="s">
        <v>18</v>
      </c>
      <c r="F969" t="s">
        <v>999</v>
      </c>
      <c r="G969">
        <v>90</v>
      </c>
      <c r="H969" t="s">
        <v>62</v>
      </c>
      <c r="I969" t="s">
        <v>91</v>
      </c>
      <c r="J969" t="s">
        <v>49</v>
      </c>
      <c r="K969" s="4">
        <v>424.49</v>
      </c>
      <c r="L969" t="s">
        <v>2315</v>
      </c>
      <c r="M969" s="1">
        <v>46916</v>
      </c>
      <c r="N969" t="s">
        <v>41</v>
      </c>
      <c r="O969" t="s">
        <v>25</v>
      </c>
    </row>
    <row r="970" spans="1:15" x14ac:dyDescent="0.25">
      <c r="A970" t="s">
        <v>2316</v>
      </c>
      <c r="B970" t="s">
        <v>138</v>
      </c>
      <c r="C970">
        <v>1990</v>
      </c>
      <c r="D970" t="s">
        <v>89</v>
      </c>
      <c r="E970" t="s">
        <v>18</v>
      </c>
      <c r="F970" t="s">
        <v>250</v>
      </c>
      <c r="G970">
        <v>450</v>
      </c>
      <c r="H970" t="s">
        <v>29</v>
      </c>
      <c r="I970" t="s">
        <v>91</v>
      </c>
      <c r="J970" t="s">
        <v>31</v>
      </c>
      <c r="K970" s="4">
        <v>462.69</v>
      </c>
      <c r="L970" t="s">
        <v>2317</v>
      </c>
      <c r="M970" s="1">
        <v>46115</v>
      </c>
      <c r="N970" t="s">
        <v>75</v>
      </c>
      <c r="O970" t="s">
        <v>33</v>
      </c>
    </row>
    <row r="971" spans="1:15" x14ac:dyDescent="0.25">
      <c r="A971" t="s">
        <v>2318</v>
      </c>
      <c r="B971" t="s">
        <v>70</v>
      </c>
      <c r="C971">
        <v>2020</v>
      </c>
      <c r="D971" t="s">
        <v>95</v>
      </c>
      <c r="E971" t="s">
        <v>45</v>
      </c>
      <c r="F971" t="s">
        <v>180</v>
      </c>
      <c r="G971">
        <v>900</v>
      </c>
      <c r="H971" t="s">
        <v>85</v>
      </c>
      <c r="I971" t="s">
        <v>73</v>
      </c>
      <c r="J971" t="s">
        <v>121</v>
      </c>
      <c r="K971" s="4">
        <v>379.96</v>
      </c>
      <c r="L971" t="s">
        <v>2319</v>
      </c>
      <c r="M971" s="1">
        <v>46913</v>
      </c>
      <c r="N971" t="s">
        <v>75</v>
      </c>
      <c r="O971" t="s">
        <v>25</v>
      </c>
    </row>
    <row r="972" spans="1:15" x14ac:dyDescent="0.25">
      <c r="A972" t="s">
        <v>2320</v>
      </c>
      <c r="B972" t="s">
        <v>70</v>
      </c>
      <c r="C972">
        <v>2023</v>
      </c>
      <c r="D972" t="s">
        <v>83</v>
      </c>
      <c r="E972" t="s">
        <v>60</v>
      </c>
      <c r="F972" t="s">
        <v>241</v>
      </c>
      <c r="G972">
        <v>710</v>
      </c>
      <c r="H972" t="s">
        <v>20</v>
      </c>
      <c r="I972" t="s">
        <v>80</v>
      </c>
      <c r="J972" t="s">
        <v>146</v>
      </c>
      <c r="K972" s="4">
        <v>75.760000000000005</v>
      </c>
      <c r="L972" t="s">
        <v>2321</v>
      </c>
      <c r="M972" s="1">
        <v>46245</v>
      </c>
      <c r="N972" t="s">
        <v>24</v>
      </c>
      <c r="O972" t="s">
        <v>51</v>
      </c>
    </row>
    <row r="973" spans="1:15" x14ac:dyDescent="0.25">
      <c r="A973" t="s">
        <v>2322</v>
      </c>
      <c r="B973" t="s">
        <v>134</v>
      </c>
      <c r="C973">
        <v>2007</v>
      </c>
      <c r="D973" t="s">
        <v>83</v>
      </c>
      <c r="E973" t="s">
        <v>119</v>
      </c>
      <c r="F973" t="s">
        <v>712</v>
      </c>
      <c r="G973">
        <v>200</v>
      </c>
      <c r="H973" t="s">
        <v>20</v>
      </c>
      <c r="I973" t="s">
        <v>21</v>
      </c>
      <c r="J973" t="s">
        <v>92</v>
      </c>
      <c r="K973" s="4">
        <v>398.22</v>
      </c>
      <c r="L973" t="s">
        <v>2323</v>
      </c>
      <c r="M973" s="1">
        <v>45902</v>
      </c>
      <c r="N973" t="s">
        <v>41</v>
      </c>
      <c r="O973" t="s">
        <v>33</v>
      </c>
    </row>
    <row r="974" spans="1:15" x14ac:dyDescent="0.25">
      <c r="A974" t="s">
        <v>2324</v>
      </c>
      <c r="B974" t="s">
        <v>59</v>
      </c>
      <c r="C974">
        <v>2001</v>
      </c>
      <c r="D974" t="s">
        <v>66</v>
      </c>
      <c r="E974" t="s">
        <v>104</v>
      </c>
      <c r="F974" t="s">
        <v>679</v>
      </c>
      <c r="G974">
        <v>410</v>
      </c>
      <c r="H974" t="s">
        <v>47</v>
      </c>
      <c r="I974" t="s">
        <v>39</v>
      </c>
      <c r="J974" t="s">
        <v>101</v>
      </c>
      <c r="K974" s="4">
        <v>455.35</v>
      </c>
      <c r="L974" t="s">
        <v>2325</v>
      </c>
      <c r="M974" s="1">
        <v>46938</v>
      </c>
      <c r="N974" t="s">
        <v>75</v>
      </c>
      <c r="O974" t="s">
        <v>25</v>
      </c>
    </row>
    <row r="975" spans="1:15" x14ac:dyDescent="0.25">
      <c r="A975" t="s">
        <v>2326</v>
      </c>
      <c r="B975" t="s">
        <v>35</v>
      </c>
      <c r="C975">
        <v>1997</v>
      </c>
      <c r="D975" t="s">
        <v>66</v>
      </c>
      <c r="E975" t="s">
        <v>119</v>
      </c>
      <c r="F975" t="s">
        <v>185</v>
      </c>
      <c r="G975">
        <v>600</v>
      </c>
      <c r="H975" t="s">
        <v>85</v>
      </c>
      <c r="I975" t="s">
        <v>73</v>
      </c>
      <c r="J975" t="s">
        <v>92</v>
      </c>
      <c r="K975" s="4">
        <v>497.22</v>
      </c>
      <c r="L975" t="s">
        <v>2327</v>
      </c>
      <c r="M975" s="1">
        <v>46254</v>
      </c>
      <c r="N975" t="s">
        <v>75</v>
      </c>
      <c r="O975" t="s">
        <v>25</v>
      </c>
    </row>
    <row r="976" spans="1:15" x14ac:dyDescent="0.25">
      <c r="A976" t="s">
        <v>2328</v>
      </c>
      <c r="B976" t="s">
        <v>35</v>
      </c>
      <c r="C976">
        <v>2024</v>
      </c>
      <c r="D976" t="s">
        <v>83</v>
      </c>
      <c r="E976" t="s">
        <v>18</v>
      </c>
      <c r="F976" t="s">
        <v>946</v>
      </c>
      <c r="G976">
        <v>860</v>
      </c>
      <c r="H976" t="s">
        <v>20</v>
      </c>
      <c r="I976" t="s">
        <v>151</v>
      </c>
      <c r="J976" t="s">
        <v>101</v>
      </c>
      <c r="K976" s="4">
        <v>409.61</v>
      </c>
      <c r="L976" t="s">
        <v>2329</v>
      </c>
      <c r="M976" s="1">
        <v>46298</v>
      </c>
      <c r="N976" t="s">
        <v>24</v>
      </c>
      <c r="O976" t="s">
        <v>25</v>
      </c>
    </row>
    <row r="977" spans="1:15" x14ac:dyDescent="0.25">
      <c r="A977" t="s">
        <v>2330</v>
      </c>
      <c r="B977" t="s">
        <v>138</v>
      </c>
      <c r="C977">
        <v>2019</v>
      </c>
      <c r="D977" t="s">
        <v>83</v>
      </c>
      <c r="E977" t="s">
        <v>99</v>
      </c>
      <c r="F977" t="s">
        <v>145</v>
      </c>
      <c r="G977">
        <v>690</v>
      </c>
      <c r="H977" t="s">
        <v>47</v>
      </c>
      <c r="I977" t="s">
        <v>39</v>
      </c>
      <c r="J977" t="s">
        <v>92</v>
      </c>
      <c r="K977" s="4">
        <v>137.94</v>
      </c>
      <c r="L977" t="s">
        <v>2331</v>
      </c>
      <c r="M977" s="1">
        <v>46781</v>
      </c>
      <c r="N977" t="s">
        <v>75</v>
      </c>
      <c r="O977" t="s">
        <v>25</v>
      </c>
    </row>
    <row r="978" spans="1:15" x14ac:dyDescent="0.25">
      <c r="A978" t="s">
        <v>2332</v>
      </c>
      <c r="B978" t="s">
        <v>98</v>
      </c>
      <c r="C978">
        <v>2017</v>
      </c>
      <c r="D978" t="s">
        <v>95</v>
      </c>
      <c r="E978" t="s">
        <v>78</v>
      </c>
      <c r="F978" t="s">
        <v>929</v>
      </c>
      <c r="G978">
        <v>40</v>
      </c>
      <c r="H978" t="s">
        <v>85</v>
      </c>
      <c r="I978" t="s">
        <v>48</v>
      </c>
      <c r="J978" t="s">
        <v>92</v>
      </c>
      <c r="K978" s="4">
        <v>213.91</v>
      </c>
      <c r="L978" t="s">
        <v>2333</v>
      </c>
      <c r="M978" s="1">
        <v>46071</v>
      </c>
      <c r="N978" t="s">
        <v>24</v>
      </c>
      <c r="O978" t="s">
        <v>51</v>
      </c>
    </row>
    <row r="979" spans="1:15" x14ac:dyDescent="0.25">
      <c r="A979" t="s">
        <v>2334</v>
      </c>
      <c r="B979" t="s">
        <v>16</v>
      </c>
      <c r="C979">
        <v>2009</v>
      </c>
      <c r="D979" t="s">
        <v>83</v>
      </c>
      <c r="E979" t="s">
        <v>60</v>
      </c>
      <c r="F979" t="s">
        <v>929</v>
      </c>
      <c r="G979">
        <v>390</v>
      </c>
      <c r="H979" t="s">
        <v>38</v>
      </c>
      <c r="I979" t="s">
        <v>39</v>
      </c>
      <c r="J979" t="s">
        <v>49</v>
      </c>
      <c r="K979" s="4">
        <v>195.74</v>
      </c>
      <c r="L979" t="s">
        <v>2335</v>
      </c>
      <c r="M979" s="1">
        <v>46763</v>
      </c>
      <c r="N979" t="s">
        <v>41</v>
      </c>
      <c r="O979" t="s">
        <v>33</v>
      </c>
    </row>
    <row r="980" spans="1:15" x14ac:dyDescent="0.25">
      <c r="A980" t="s">
        <v>1707</v>
      </c>
      <c r="B980" t="s">
        <v>134</v>
      </c>
      <c r="C980">
        <v>1995</v>
      </c>
      <c r="D980" t="s">
        <v>17</v>
      </c>
      <c r="E980" t="s">
        <v>18</v>
      </c>
      <c r="F980" t="s">
        <v>2336</v>
      </c>
      <c r="G980">
        <v>110</v>
      </c>
      <c r="H980" t="s">
        <v>38</v>
      </c>
      <c r="I980" t="s">
        <v>30</v>
      </c>
      <c r="J980" t="s">
        <v>110</v>
      </c>
      <c r="K980" s="4">
        <v>448.3</v>
      </c>
      <c r="L980" t="s">
        <v>2337</v>
      </c>
      <c r="M980" s="1">
        <v>46706</v>
      </c>
      <c r="N980" t="s">
        <v>75</v>
      </c>
      <c r="O980" t="s">
        <v>33</v>
      </c>
    </row>
    <row r="981" spans="1:15" x14ac:dyDescent="0.25">
      <c r="A981" t="s">
        <v>2338</v>
      </c>
      <c r="B981" t="s">
        <v>35</v>
      </c>
      <c r="C981">
        <v>1994</v>
      </c>
      <c r="D981" t="s">
        <v>108</v>
      </c>
      <c r="E981" t="s">
        <v>104</v>
      </c>
      <c r="F981" t="s">
        <v>1312</v>
      </c>
      <c r="G981">
        <v>110</v>
      </c>
      <c r="H981" t="s">
        <v>20</v>
      </c>
      <c r="I981" t="s">
        <v>48</v>
      </c>
      <c r="J981" t="s">
        <v>92</v>
      </c>
      <c r="K981" s="4">
        <v>124.82</v>
      </c>
      <c r="L981" t="s">
        <v>2339</v>
      </c>
      <c r="M981" s="1">
        <v>46471</v>
      </c>
      <c r="N981" t="s">
        <v>24</v>
      </c>
      <c r="O981" t="s">
        <v>33</v>
      </c>
    </row>
    <row r="982" spans="1:15" x14ac:dyDescent="0.25">
      <c r="A982" t="s">
        <v>2340</v>
      </c>
      <c r="B982" t="s">
        <v>59</v>
      </c>
      <c r="C982">
        <v>2011</v>
      </c>
      <c r="D982" t="s">
        <v>66</v>
      </c>
      <c r="E982" t="s">
        <v>45</v>
      </c>
      <c r="F982" t="s">
        <v>2341</v>
      </c>
      <c r="G982">
        <v>880</v>
      </c>
      <c r="H982" t="s">
        <v>29</v>
      </c>
      <c r="I982" t="s">
        <v>91</v>
      </c>
      <c r="J982" t="s">
        <v>101</v>
      </c>
      <c r="K982" s="4">
        <v>71.56</v>
      </c>
      <c r="L982" t="s">
        <v>2342</v>
      </c>
      <c r="M982" s="1">
        <v>46640</v>
      </c>
      <c r="N982" t="s">
        <v>41</v>
      </c>
      <c r="O982" t="s">
        <v>33</v>
      </c>
    </row>
    <row r="983" spans="1:15" x14ac:dyDescent="0.25">
      <c r="A983" t="s">
        <v>2343</v>
      </c>
      <c r="B983" t="s">
        <v>70</v>
      </c>
      <c r="C983">
        <v>2013</v>
      </c>
      <c r="D983" t="s">
        <v>66</v>
      </c>
      <c r="E983" t="s">
        <v>104</v>
      </c>
      <c r="F983" t="s">
        <v>342</v>
      </c>
      <c r="G983">
        <v>390</v>
      </c>
      <c r="H983" t="s">
        <v>29</v>
      </c>
      <c r="I983" t="s">
        <v>21</v>
      </c>
      <c r="J983" t="s">
        <v>31</v>
      </c>
      <c r="K983" s="4">
        <v>259.19</v>
      </c>
      <c r="L983" t="s">
        <v>2344</v>
      </c>
      <c r="M983" s="1">
        <v>46762</v>
      </c>
      <c r="N983" t="s">
        <v>24</v>
      </c>
      <c r="O983" t="s">
        <v>33</v>
      </c>
    </row>
    <row r="984" spans="1:15" x14ac:dyDescent="0.25">
      <c r="A984" t="s">
        <v>2345</v>
      </c>
      <c r="B984" t="s">
        <v>59</v>
      </c>
      <c r="C984">
        <v>2006</v>
      </c>
      <c r="D984" t="s">
        <v>83</v>
      </c>
      <c r="E984" t="s">
        <v>99</v>
      </c>
      <c r="F984" t="s">
        <v>162</v>
      </c>
      <c r="G984">
        <v>290</v>
      </c>
      <c r="H984" t="s">
        <v>62</v>
      </c>
      <c r="I984" t="s">
        <v>48</v>
      </c>
      <c r="J984" t="s">
        <v>92</v>
      </c>
      <c r="K984" s="4">
        <v>242.41</v>
      </c>
      <c r="L984" t="s">
        <v>2346</v>
      </c>
      <c r="M984" s="1">
        <v>46233</v>
      </c>
      <c r="N984" t="s">
        <v>24</v>
      </c>
      <c r="O984" t="s">
        <v>33</v>
      </c>
    </row>
    <row r="985" spans="1:15" x14ac:dyDescent="0.25">
      <c r="A985" t="s">
        <v>2347</v>
      </c>
      <c r="B985" t="s">
        <v>53</v>
      </c>
      <c r="C985">
        <v>1990</v>
      </c>
      <c r="D985" t="s">
        <v>44</v>
      </c>
      <c r="E985" t="s">
        <v>54</v>
      </c>
      <c r="F985" t="s">
        <v>250</v>
      </c>
      <c r="G985">
        <v>900</v>
      </c>
      <c r="H985" t="s">
        <v>38</v>
      </c>
      <c r="I985" t="s">
        <v>186</v>
      </c>
      <c r="J985" t="s">
        <v>22</v>
      </c>
      <c r="K985" s="4">
        <v>153.11000000000001</v>
      </c>
      <c r="L985" t="s">
        <v>2348</v>
      </c>
      <c r="M985" s="1">
        <v>46572</v>
      </c>
      <c r="N985" t="s">
        <v>41</v>
      </c>
      <c r="O985" t="s">
        <v>33</v>
      </c>
    </row>
    <row r="986" spans="1:15" x14ac:dyDescent="0.25">
      <c r="A986" t="s">
        <v>2349</v>
      </c>
      <c r="B986" t="s">
        <v>70</v>
      </c>
      <c r="C986">
        <v>2001</v>
      </c>
      <c r="D986" t="s">
        <v>83</v>
      </c>
      <c r="E986" t="s">
        <v>116</v>
      </c>
      <c r="F986" t="s">
        <v>1955</v>
      </c>
      <c r="G986">
        <v>910</v>
      </c>
      <c r="H986" t="s">
        <v>20</v>
      </c>
      <c r="I986" t="s">
        <v>80</v>
      </c>
      <c r="J986" t="s">
        <v>125</v>
      </c>
      <c r="K986" s="4">
        <v>349.55</v>
      </c>
      <c r="L986" t="s">
        <v>2350</v>
      </c>
      <c r="M986" s="1">
        <v>46899</v>
      </c>
      <c r="N986" t="s">
        <v>41</v>
      </c>
      <c r="O986" t="s">
        <v>51</v>
      </c>
    </row>
    <row r="987" spans="1:15" x14ac:dyDescent="0.25">
      <c r="A987" t="s">
        <v>2351</v>
      </c>
      <c r="B987" t="s">
        <v>16</v>
      </c>
      <c r="C987">
        <v>2010</v>
      </c>
      <c r="D987" t="s">
        <v>108</v>
      </c>
      <c r="E987" t="s">
        <v>116</v>
      </c>
      <c r="F987" t="s">
        <v>444</v>
      </c>
      <c r="G987">
        <v>410</v>
      </c>
      <c r="H987" t="s">
        <v>56</v>
      </c>
      <c r="I987" t="s">
        <v>48</v>
      </c>
      <c r="J987" t="s">
        <v>22</v>
      </c>
      <c r="K987" s="4">
        <v>245.5</v>
      </c>
      <c r="L987" t="s">
        <v>2352</v>
      </c>
      <c r="M987" s="1">
        <v>46661</v>
      </c>
      <c r="N987" t="s">
        <v>75</v>
      </c>
      <c r="O987" t="s">
        <v>33</v>
      </c>
    </row>
    <row r="988" spans="1:15" x14ac:dyDescent="0.25">
      <c r="A988" t="s">
        <v>555</v>
      </c>
      <c r="B988" t="s">
        <v>77</v>
      </c>
      <c r="C988">
        <v>2001</v>
      </c>
      <c r="D988" t="s">
        <v>83</v>
      </c>
      <c r="E988" t="s">
        <v>18</v>
      </c>
      <c r="F988" t="s">
        <v>162</v>
      </c>
      <c r="G988">
        <v>800</v>
      </c>
      <c r="H988" t="s">
        <v>20</v>
      </c>
      <c r="I988" t="s">
        <v>39</v>
      </c>
      <c r="J988" t="s">
        <v>101</v>
      </c>
      <c r="K988" s="4">
        <v>203.41</v>
      </c>
      <c r="L988" t="s">
        <v>2353</v>
      </c>
      <c r="M988" s="1">
        <v>46496</v>
      </c>
      <c r="N988" t="s">
        <v>24</v>
      </c>
      <c r="O988" t="s">
        <v>51</v>
      </c>
    </row>
    <row r="989" spans="1:15" x14ac:dyDescent="0.25">
      <c r="A989" t="s">
        <v>2354</v>
      </c>
      <c r="B989" t="s">
        <v>98</v>
      </c>
      <c r="C989">
        <v>1993</v>
      </c>
      <c r="D989" t="s">
        <v>83</v>
      </c>
      <c r="E989" t="s">
        <v>18</v>
      </c>
      <c r="F989" t="s">
        <v>783</v>
      </c>
      <c r="G989">
        <v>980</v>
      </c>
      <c r="H989" t="s">
        <v>20</v>
      </c>
      <c r="I989" t="s">
        <v>91</v>
      </c>
      <c r="J989" t="s">
        <v>110</v>
      </c>
      <c r="K989" s="4">
        <v>49.56</v>
      </c>
      <c r="L989" t="s">
        <v>2355</v>
      </c>
      <c r="M989" s="1">
        <v>46100</v>
      </c>
      <c r="N989" t="s">
        <v>41</v>
      </c>
      <c r="O989" t="s">
        <v>33</v>
      </c>
    </row>
    <row r="990" spans="1:15" x14ac:dyDescent="0.25">
      <c r="A990" t="s">
        <v>2356</v>
      </c>
      <c r="B990" t="s">
        <v>35</v>
      </c>
      <c r="C990">
        <v>2017</v>
      </c>
      <c r="D990" t="s">
        <v>71</v>
      </c>
      <c r="E990" t="s">
        <v>104</v>
      </c>
      <c r="F990" t="s">
        <v>250</v>
      </c>
      <c r="G990">
        <v>250</v>
      </c>
      <c r="H990" t="s">
        <v>38</v>
      </c>
      <c r="I990" t="s">
        <v>151</v>
      </c>
      <c r="J990" t="s">
        <v>101</v>
      </c>
      <c r="K990" s="4">
        <v>170.14</v>
      </c>
      <c r="L990" t="s">
        <v>2357</v>
      </c>
      <c r="M990" s="1">
        <v>46329</v>
      </c>
      <c r="N990" t="s">
        <v>24</v>
      </c>
      <c r="O990" t="s">
        <v>51</v>
      </c>
    </row>
    <row r="991" spans="1:15" x14ac:dyDescent="0.25">
      <c r="A991" t="s">
        <v>2358</v>
      </c>
      <c r="B991" t="s">
        <v>43</v>
      </c>
      <c r="C991">
        <v>2020</v>
      </c>
      <c r="D991" t="s">
        <v>108</v>
      </c>
      <c r="E991" t="s">
        <v>18</v>
      </c>
      <c r="F991" t="s">
        <v>1784</v>
      </c>
      <c r="G991">
        <v>250</v>
      </c>
      <c r="H991" t="s">
        <v>85</v>
      </c>
      <c r="I991" t="s">
        <v>21</v>
      </c>
      <c r="J991" t="s">
        <v>146</v>
      </c>
      <c r="K991" s="4">
        <v>382.27</v>
      </c>
      <c r="L991" t="s">
        <v>2359</v>
      </c>
      <c r="M991" s="1">
        <v>46959</v>
      </c>
      <c r="N991" t="s">
        <v>75</v>
      </c>
      <c r="O991" t="s">
        <v>25</v>
      </c>
    </row>
    <row r="992" spans="1:15" x14ac:dyDescent="0.25">
      <c r="A992" t="s">
        <v>2360</v>
      </c>
      <c r="B992" t="s">
        <v>43</v>
      </c>
      <c r="C992">
        <v>1998</v>
      </c>
      <c r="D992" t="s">
        <v>36</v>
      </c>
      <c r="E992" t="s">
        <v>18</v>
      </c>
      <c r="F992" t="s">
        <v>1216</v>
      </c>
      <c r="G992">
        <v>240</v>
      </c>
      <c r="H992" t="s">
        <v>38</v>
      </c>
      <c r="I992" t="s">
        <v>73</v>
      </c>
      <c r="J992" t="s">
        <v>121</v>
      </c>
      <c r="K992" s="4">
        <v>58.46</v>
      </c>
      <c r="L992" t="s">
        <v>2361</v>
      </c>
      <c r="M992" s="1">
        <v>46759</v>
      </c>
      <c r="N992" t="s">
        <v>41</v>
      </c>
      <c r="O992" t="s">
        <v>51</v>
      </c>
    </row>
    <row r="993" spans="1:15" x14ac:dyDescent="0.25">
      <c r="A993" t="s">
        <v>2362</v>
      </c>
      <c r="B993" t="s">
        <v>35</v>
      </c>
      <c r="C993">
        <v>2022</v>
      </c>
      <c r="D993" t="s">
        <v>66</v>
      </c>
      <c r="E993" t="s">
        <v>104</v>
      </c>
      <c r="F993" t="s">
        <v>1309</v>
      </c>
      <c r="G993">
        <v>160</v>
      </c>
      <c r="H993" t="s">
        <v>47</v>
      </c>
      <c r="I993" t="s">
        <v>151</v>
      </c>
      <c r="J993" t="s">
        <v>22</v>
      </c>
      <c r="K993" s="4">
        <v>137.26</v>
      </c>
      <c r="L993" t="s">
        <v>2363</v>
      </c>
      <c r="M993" s="1">
        <v>45953</v>
      </c>
      <c r="N993" t="s">
        <v>75</v>
      </c>
      <c r="O993" t="s">
        <v>51</v>
      </c>
    </row>
    <row r="994" spans="1:15" x14ac:dyDescent="0.25">
      <c r="A994" t="s">
        <v>1425</v>
      </c>
      <c r="B994" t="s">
        <v>35</v>
      </c>
      <c r="C994">
        <v>1997</v>
      </c>
      <c r="D994" t="s">
        <v>108</v>
      </c>
      <c r="E994" t="s">
        <v>45</v>
      </c>
      <c r="F994" t="s">
        <v>2364</v>
      </c>
      <c r="G994">
        <v>650</v>
      </c>
      <c r="H994" t="s">
        <v>62</v>
      </c>
      <c r="I994" t="s">
        <v>151</v>
      </c>
      <c r="J994" t="s">
        <v>31</v>
      </c>
      <c r="K994" s="4">
        <v>421.6</v>
      </c>
      <c r="L994" t="s">
        <v>2365</v>
      </c>
      <c r="M994" s="1">
        <v>46670</v>
      </c>
      <c r="N994" t="s">
        <v>24</v>
      </c>
      <c r="O994" t="s">
        <v>51</v>
      </c>
    </row>
    <row r="995" spans="1:15" x14ac:dyDescent="0.25">
      <c r="A995" t="s">
        <v>2366</v>
      </c>
      <c r="B995" t="s">
        <v>53</v>
      </c>
      <c r="C995">
        <v>2016</v>
      </c>
      <c r="D995" t="s">
        <v>95</v>
      </c>
      <c r="E995" t="s">
        <v>116</v>
      </c>
      <c r="F995" t="s">
        <v>2367</v>
      </c>
      <c r="G995">
        <v>120</v>
      </c>
      <c r="H995" t="s">
        <v>29</v>
      </c>
      <c r="I995" t="s">
        <v>86</v>
      </c>
      <c r="J995" t="s">
        <v>31</v>
      </c>
      <c r="K995" s="4">
        <v>399.01</v>
      </c>
      <c r="L995" t="s">
        <v>2368</v>
      </c>
      <c r="M995" s="1">
        <v>46241</v>
      </c>
      <c r="N995" t="s">
        <v>41</v>
      </c>
      <c r="O995" t="s">
        <v>51</v>
      </c>
    </row>
    <row r="996" spans="1:15" x14ac:dyDescent="0.25">
      <c r="A996" t="s">
        <v>2369</v>
      </c>
      <c r="B996" t="s">
        <v>59</v>
      </c>
      <c r="C996">
        <v>2013</v>
      </c>
      <c r="D996" t="s">
        <v>71</v>
      </c>
      <c r="E996" t="s">
        <v>99</v>
      </c>
      <c r="F996" t="s">
        <v>2370</v>
      </c>
      <c r="G996">
        <v>320</v>
      </c>
      <c r="H996" t="s">
        <v>56</v>
      </c>
      <c r="I996" t="s">
        <v>73</v>
      </c>
      <c r="J996" t="s">
        <v>22</v>
      </c>
      <c r="K996" s="4">
        <v>497.51</v>
      </c>
      <c r="L996" t="s">
        <v>2371</v>
      </c>
      <c r="M996" s="1">
        <v>46810</v>
      </c>
      <c r="N996" t="s">
        <v>75</v>
      </c>
      <c r="O996" t="s">
        <v>51</v>
      </c>
    </row>
    <row r="997" spans="1:15" x14ac:dyDescent="0.25">
      <c r="A997" t="s">
        <v>2372</v>
      </c>
      <c r="B997" t="s">
        <v>70</v>
      </c>
      <c r="C997">
        <v>2000</v>
      </c>
      <c r="D997" t="s">
        <v>27</v>
      </c>
      <c r="E997" t="s">
        <v>18</v>
      </c>
      <c r="F997" t="s">
        <v>1409</v>
      </c>
      <c r="G997">
        <v>540</v>
      </c>
      <c r="H997" t="s">
        <v>29</v>
      </c>
      <c r="I997" t="s">
        <v>48</v>
      </c>
      <c r="J997" t="s">
        <v>121</v>
      </c>
      <c r="K997" s="4">
        <v>111.23</v>
      </c>
      <c r="L997" t="s">
        <v>2373</v>
      </c>
      <c r="M997" s="1">
        <v>46848</v>
      </c>
      <c r="N997" t="s">
        <v>41</v>
      </c>
      <c r="O997" t="s">
        <v>25</v>
      </c>
    </row>
    <row r="998" spans="1:15" x14ac:dyDescent="0.25">
      <c r="A998" t="s">
        <v>2374</v>
      </c>
      <c r="B998" t="s">
        <v>53</v>
      </c>
      <c r="C998">
        <v>1995</v>
      </c>
      <c r="D998" t="s">
        <v>83</v>
      </c>
      <c r="E998" t="s">
        <v>99</v>
      </c>
      <c r="F998" t="s">
        <v>220</v>
      </c>
      <c r="G998">
        <v>380</v>
      </c>
      <c r="H998" t="s">
        <v>47</v>
      </c>
      <c r="I998" t="s">
        <v>80</v>
      </c>
      <c r="J998" t="s">
        <v>110</v>
      </c>
      <c r="K998" s="4">
        <v>276.08999999999997</v>
      </c>
      <c r="L998" t="s">
        <v>2375</v>
      </c>
      <c r="M998" s="1">
        <v>46270</v>
      </c>
      <c r="N998" t="s">
        <v>41</v>
      </c>
      <c r="O998" t="s">
        <v>51</v>
      </c>
    </row>
    <row r="999" spans="1:15" x14ac:dyDescent="0.25">
      <c r="A999" t="s">
        <v>2376</v>
      </c>
      <c r="B999" t="s">
        <v>35</v>
      </c>
      <c r="C999">
        <v>1991</v>
      </c>
      <c r="D999" t="s">
        <v>36</v>
      </c>
      <c r="E999" t="s">
        <v>116</v>
      </c>
      <c r="F999" t="s">
        <v>909</v>
      </c>
      <c r="G999">
        <v>10</v>
      </c>
      <c r="H999" t="s">
        <v>29</v>
      </c>
      <c r="I999" t="s">
        <v>91</v>
      </c>
      <c r="J999" t="s">
        <v>121</v>
      </c>
      <c r="K999" s="4">
        <v>88.52</v>
      </c>
      <c r="L999" t="s">
        <v>2377</v>
      </c>
      <c r="M999" s="1">
        <v>46467</v>
      </c>
      <c r="N999" t="s">
        <v>75</v>
      </c>
      <c r="O999" t="s">
        <v>25</v>
      </c>
    </row>
    <row r="1000" spans="1:15" x14ac:dyDescent="0.25">
      <c r="A1000" t="s">
        <v>2378</v>
      </c>
      <c r="B1000" t="s">
        <v>77</v>
      </c>
      <c r="C1000">
        <v>2006</v>
      </c>
      <c r="D1000" t="s">
        <v>71</v>
      </c>
      <c r="E1000" t="s">
        <v>45</v>
      </c>
      <c r="F1000" t="s">
        <v>323</v>
      </c>
      <c r="G1000">
        <v>580</v>
      </c>
      <c r="H1000" t="s">
        <v>29</v>
      </c>
      <c r="I1000" t="s">
        <v>186</v>
      </c>
      <c r="J1000" t="s">
        <v>22</v>
      </c>
      <c r="K1000" s="4">
        <v>368.75</v>
      </c>
      <c r="L1000" t="s">
        <v>2379</v>
      </c>
      <c r="M1000" s="1">
        <v>46780</v>
      </c>
      <c r="N1000" t="s">
        <v>24</v>
      </c>
      <c r="O1000" t="s">
        <v>33</v>
      </c>
    </row>
    <row r="1001" spans="1:15" x14ac:dyDescent="0.25">
      <c r="A1001" t="s">
        <v>2380</v>
      </c>
      <c r="B1001" t="s">
        <v>70</v>
      </c>
      <c r="C1001">
        <v>2006</v>
      </c>
      <c r="D1001" t="s">
        <v>89</v>
      </c>
      <c r="E1001" t="s">
        <v>72</v>
      </c>
      <c r="F1001" t="s">
        <v>180</v>
      </c>
      <c r="G1001">
        <v>120</v>
      </c>
      <c r="H1001" t="s">
        <v>38</v>
      </c>
      <c r="I1001" t="s">
        <v>21</v>
      </c>
      <c r="J1001" t="s">
        <v>31</v>
      </c>
      <c r="K1001" s="4">
        <v>172.44</v>
      </c>
      <c r="L1001" t="s">
        <v>2381</v>
      </c>
      <c r="M1001" s="1">
        <v>46204</v>
      </c>
      <c r="N1001" t="s">
        <v>41</v>
      </c>
      <c r="O1001" t="s">
        <v>25</v>
      </c>
    </row>
    <row r="1002" spans="1:15" x14ac:dyDescent="0.25">
      <c r="A1002" t="s">
        <v>2382</v>
      </c>
      <c r="B1002" t="s">
        <v>16</v>
      </c>
      <c r="C1002">
        <v>2002</v>
      </c>
      <c r="D1002" t="s">
        <v>66</v>
      </c>
      <c r="E1002" t="s">
        <v>60</v>
      </c>
      <c r="F1002" t="s">
        <v>747</v>
      </c>
      <c r="G1002">
        <v>820</v>
      </c>
      <c r="H1002" t="s">
        <v>62</v>
      </c>
      <c r="I1002" t="s">
        <v>30</v>
      </c>
      <c r="J1002" t="s">
        <v>92</v>
      </c>
      <c r="K1002" s="4">
        <v>203.78</v>
      </c>
      <c r="L1002" t="s">
        <v>2383</v>
      </c>
      <c r="M1002" s="1">
        <v>46836</v>
      </c>
      <c r="N1002" t="s">
        <v>41</v>
      </c>
      <c r="O1002" t="s">
        <v>33</v>
      </c>
    </row>
    <row r="1003" spans="1:15" x14ac:dyDescent="0.25">
      <c r="A1003" t="s">
        <v>2384</v>
      </c>
      <c r="B1003" t="s">
        <v>59</v>
      </c>
      <c r="C1003">
        <v>1991</v>
      </c>
      <c r="D1003" t="s">
        <v>71</v>
      </c>
      <c r="E1003" t="s">
        <v>18</v>
      </c>
      <c r="F1003" t="s">
        <v>162</v>
      </c>
      <c r="G1003">
        <v>520</v>
      </c>
      <c r="H1003" t="s">
        <v>47</v>
      </c>
      <c r="I1003" t="s">
        <v>30</v>
      </c>
      <c r="J1003" t="s">
        <v>110</v>
      </c>
      <c r="K1003" s="4">
        <v>50.35</v>
      </c>
      <c r="L1003" t="s">
        <v>2385</v>
      </c>
      <c r="M1003" s="1">
        <v>46861</v>
      </c>
      <c r="N1003" t="s">
        <v>41</v>
      </c>
      <c r="O1003" t="s">
        <v>33</v>
      </c>
    </row>
    <row r="1004" spans="1:15" x14ac:dyDescent="0.25">
      <c r="A1004" t="s">
        <v>2386</v>
      </c>
      <c r="B1004" t="s">
        <v>35</v>
      </c>
      <c r="C1004">
        <v>1990</v>
      </c>
      <c r="D1004" t="s">
        <v>95</v>
      </c>
      <c r="E1004" t="s">
        <v>78</v>
      </c>
      <c r="F1004" t="s">
        <v>2387</v>
      </c>
      <c r="G1004">
        <v>420</v>
      </c>
      <c r="H1004" t="s">
        <v>56</v>
      </c>
      <c r="I1004" t="s">
        <v>39</v>
      </c>
      <c r="J1004" t="s">
        <v>110</v>
      </c>
      <c r="K1004" s="4">
        <v>332.34</v>
      </c>
      <c r="L1004" t="s">
        <v>2388</v>
      </c>
      <c r="M1004" s="1">
        <v>46366</v>
      </c>
      <c r="N1004" t="s">
        <v>41</v>
      </c>
      <c r="O1004" t="s">
        <v>51</v>
      </c>
    </row>
    <row r="1005" spans="1:15" x14ac:dyDescent="0.25">
      <c r="A1005" t="s">
        <v>2389</v>
      </c>
      <c r="B1005" t="s">
        <v>43</v>
      </c>
      <c r="C1005">
        <v>2019</v>
      </c>
      <c r="D1005" t="s">
        <v>71</v>
      </c>
      <c r="E1005" t="s">
        <v>72</v>
      </c>
      <c r="F1005" t="s">
        <v>145</v>
      </c>
      <c r="G1005">
        <v>630</v>
      </c>
      <c r="H1005" t="s">
        <v>20</v>
      </c>
      <c r="I1005" t="s">
        <v>39</v>
      </c>
      <c r="J1005" t="s">
        <v>22</v>
      </c>
      <c r="K1005" s="4">
        <v>119.2</v>
      </c>
      <c r="L1005" t="s">
        <v>2390</v>
      </c>
      <c r="M1005" s="1">
        <v>45982</v>
      </c>
      <c r="N1005" t="s">
        <v>24</v>
      </c>
      <c r="O1005" t="s">
        <v>33</v>
      </c>
    </row>
    <row r="1006" spans="1:15" x14ac:dyDescent="0.25">
      <c r="A1006" t="s">
        <v>2391</v>
      </c>
      <c r="B1006" t="s">
        <v>98</v>
      </c>
      <c r="C1006">
        <v>2023</v>
      </c>
      <c r="D1006" t="s">
        <v>95</v>
      </c>
      <c r="E1006" t="s">
        <v>45</v>
      </c>
      <c r="F1006" t="s">
        <v>250</v>
      </c>
      <c r="G1006">
        <v>530</v>
      </c>
      <c r="H1006" t="s">
        <v>47</v>
      </c>
      <c r="I1006" t="s">
        <v>21</v>
      </c>
      <c r="J1006" t="s">
        <v>63</v>
      </c>
      <c r="K1006" s="4">
        <v>489.26</v>
      </c>
      <c r="L1006" t="s">
        <v>2392</v>
      </c>
      <c r="M1006" s="1">
        <v>46825</v>
      </c>
      <c r="N1006" t="s">
        <v>41</v>
      </c>
      <c r="O1006" t="s">
        <v>33</v>
      </c>
    </row>
    <row r="1007" spans="1:15" x14ac:dyDescent="0.25">
      <c r="A1007" t="s">
        <v>2393</v>
      </c>
      <c r="B1007" t="s">
        <v>35</v>
      </c>
      <c r="C1007">
        <v>2017</v>
      </c>
      <c r="D1007" t="s">
        <v>71</v>
      </c>
      <c r="E1007" t="s">
        <v>99</v>
      </c>
      <c r="F1007" t="s">
        <v>145</v>
      </c>
      <c r="G1007">
        <v>300</v>
      </c>
      <c r="H1007" t="s">
        <v>62</v>
      </c>
      <c r="I1007" t="s">
        <v>39</v>
      </c>
      <c r="J1007" t="s">
        <v>49</v>
      </c>
      <c r="K1007" s="4">
        <v>42.63</v>
      </c>
      <c r="L1007" t="s">
        <v>2394</v>
      </c>
      <c r="M1007" s="1">
        <v>45973</v>
      </c>
      <c r="N1007" t="s">
        <v>24</v>
      </c>
      <c r="O1007" t="s">
        <v>25</v>
      </c>
    </row>
    <row r="1008" spans="1:15" x14ac:dyDescent="0.25">
      <c r="A1008" t="s">
        <v>2395</v>
      </c>
      <c r="B1008" t="s">
        <v>59</v>
      </c>
      <c r="C1008">
        <v>2015</v>
      </c>
      <c r="D1008" t="s">
        <v>95</v>
      </c>
      <c r="E1008" t="s">
        <v>119</v>
      </c>
      <c r="F1008" t="s">
        <v>2396</v>
      </c>
      <c r="G1008">
        <v>290</v>
      </c>
      <c r="H1008" t="s">
        <v>62</v>
      </c>
      <c r="I1008" t="s">
        <v>39</v>
      </c>
      <c r="J1008" t="s">
        <v>22</v>
      </c>
      <c r="K1008" s="4">
        <v>296.73</v>
      </c>
      <c r="L1008" t="s">
        <v>2397</v>
      </c>
      <c r="M1008" s="1">
        <v>46470</v>
      </c>
      <c r="N1008" t="s">
        <v>75</v>
      </c>
      <c r="O1008" t="s">
        <v>33</v>
      </c>
    </row>
    <row r="1009" spans="1:15" x14ac:dyDescent="0.25">
      <c r="A1009" t="s">
        <v>2398</v>
      </c>
      <c r="B1009" t="s">
        <v>98</v>
      </c>
      <c r="C1009">
        <v>1997</v>
      </c>
      <c r="D1009" t="s">
        <v>108</v>
      </c>
      <c r="E1009" t="s">
        <v>99</v>
      </c>
      <c r="F1009" t="s">
        <v>79</v>
      </c>
      <c r="G1009">
        <v>340</v>
      </c>
      <c r="H1009" t="s">
        <v>20</v>
      </c>
      <c r="I1009" t="s">
        <v>186</v>
      </c>
      <c r="J1009" t="s">
        <v>146</v>
      </c>
      <c r="K1009" s="4">
        <v>420.46</v>
      </c>
      <c r="L1009" t="s">
        <v>2399</v>
      </c>
      <c r="M1009" s="1">
        <v>46521</v>
      </c>
      <c r="N1009" t="s">
        <v>75</v>
      </c>
      <c r="O1009" t="s">
        <v>51</v>
      </c>
    </row>
    <row r="1010" spans="1:15" x14ac:dyDescent="0.25">
      <c r="A1010" t="s">
        <v>2400</v>
      </c>
      <c r="B1010" t="s">
        <v>134</v>
      </c>
      <c r="C1010">
        <v>2002</v>
      </c>
      <c r="D1010" t="s">
        <v>95</v>
      </c>
      <c r="E1010" t="s">
        <v>60</v>
      </c>
      <c r="F1010" t="s">
        <v>208</v>
      </c>
      <c r="G1010">
        <v>620</v>
      </c>
      <c r="H1010" t="s">
        <v>29</v>
      </c>
      <c r="I1010" t="s">
        <v>151</v>
      </c>
      <c r="J1010" t="s">
        <v>110</v>
      </c>
      <c r="K1010" s="4">
        <v>307.14</v>
      </c>
      <c r="L1010" t="s">
        <v>2401</v>
      </c>
      <c r="M1010" s="1">
        <v>46819</v>
      </c>
      <c r="N1010" t="s">
        <v>41</v>
      </c>
      <c r="O1010" t="s">
        <v>25</v>
      </c>
    </row>
    <row r="1011" spans="1:15" x14ac:dyDescent="0.25">
      <c r="A1011" t="s">
        <v>1819</v>
      </c>
      <c r="B1011" t="s">
        <v>53</v>
      </c>
      <c r="C1011">
        <v>2019</v>
      </c>
      <c r="D1011" t="s">
        <v>17</v>
      </c>
      <c r="E1011" t="s">
        <v>78</v>
      </c>
      <c r="F1011" t="s">
        <v>851</v>
      </c>
      <c r="G1011">
        <v>230</v>
      </c>
      <c r="H1011" t="s">
        <v>56</v>
      </c>
      <c r="I1011" t="s">
        <v>151</v>
      </c>
      <c r="J1011" t="s">
        <v>31</v>
      </c>
      <c r="K1011" s="4">
        <v>174.17</v>
      </c>
      <c r="L1011" t="s">
        <v>2402</v>
      </c>
      <c r="M1011" s="1">
        <v>46880</v>
      </c>
      <c r="N1011" t="s">
        <v>75</v>
      </c>
      <c r="O1011" t="s">
        <v>51</v>
      </c>
    </row>
    <row r="1012" spans="1:15" x14ac:dyDescent="0.25">
      <c r="A1012" t="s">
        <v>2403</v>
      </c>
      <c r="B1012" t="s">
        <v>77</v>
      </c>
      <c r="C1012">
        <v>2006</v>
      </c>
      <c r="D1012" t="s">
        <v>71</v>
      </c>
      <c r="E1012" t="s">
        <v>72</v>
      </c>
      <c r="F1012" t="s">
        <v>28</v>
      </c>
      <c r="G1012">
        <v>760</v>
      </c>
      <c r="H1012" t="s">
        <v>29</v>
      </c>
      <c r="I1012" t="s">
        <v>39</v>
      </c>
      <c r="J1012" t="s">
        <v>63</v>
      </c>
      <c r="K1012" s="4">
        <v>72.239999999999995</v>
      </c>
      <c r="L1012" t="s">
        <v>2404</v>
      </c>
      <c r="M1012" s="1">
        <v>45903</v>
      </c>
      <c r="N1012" t="s">
        <v>75</v>
      </c>
      <c r="O1012" t="s">
        <v>33</v>
      </c>
    </row>
    <row r="1013" spans="1:15" x14ac:dyDescent="0.25">
      <c r="A1013" t="s">
        <v>2405</v>
      </c>
      <c r="B1013" t="s">
        <v>43</v>
      </c>
      <c r="C1013">
        <v>2003</v>
      </c>
      <c r="D1013" t="s">
        <v>95</v>
      </c>
      <c r="E1013" t="s">
        <v>45</v>
      </c>
      <c r="F1013" t="s">
        <v>547</v>
      </c>
      <c r="G1013">
        <v>680</v>
      </c>
      <c r="H1013" t="s">
        <v>29</v>
      </c>
      <c r="I1013" t="s">
        <v>80</v>
      </c>
      <c r="J1013" t="s">
        <v>22</v>
      </c>
      <c r="K1013" s="4">
        <v>196.27</v>
      </c>
      <c r="L1013" t="s">
        <v>2406</v>
      </c>
      <c r="M1013" s="1">
        <v>46179</v>
      </c>
      <c r="N1013" t="s">
        <v>24</v>
      </c>
      <c r="O1013" t="s">
        <v>51</v>
      </c>
    </row>
    <row r="1014" spans="1:15" x14ac:dyDescent="0.25">
      <c r="A1014" t="s">
        <v>2407</v>
      </c>
      <c r="B1014" t="s">
        <v>70</v>
      </c>
      <c r="C1014">
        <v>2023</v>
      </c>
      <c r="D1014" t="s">
        <v>44</v>
      </c>
      <c r="E1014" t="s">
        <v>72</v>
      </c>
      <c r="F1014" t="s">
        <v>2408</v>
      </c>
      <c r="G1014">
        <v>710</v>
      </c>
      <c r="H1014" t="s">
        <v>56</v>
      </c>
      <c r="I1014" t="s">
        <v>80</v>
      </c>
      <c r="J1014" t="s">
        <v>63</v>
      </c>
      <c r="K1014" s="4">
        <v>320.08</v>
      </c>
      <c r="L1014" t="s">
        <v>2409</v>
      </c>
      <c r="M1014" s="1">
        <v>45902</v>
      </c>
      <c r="N1014" t="s">
        <v>41</v>
      </c>
      <c r="O1014" t="s">
        <v>25</v>
      </c>
    </row>
    <row r="1015" spans="1:15" x14ac:dyDescent="0.25">
      <c r="A1015" t="s">
        <v>2410</v>
      </c>
      <c r="B1015" t="s">
        <v>98</v>
      </c>
      <c r="C1015">
        <v>2012</v>
      </c>
      <c r="D1015" t="s">
        <v>95</v>
      </c>
      <c r="E1015" t="s">
        <v>54</v>
      </c>
      <c r="F1015" t="s">
        <v>960</v>
      </c>
      <c r="G1015">
        <v>70</v>
      </c>
      <c r="H1015" t="s">
        <v>85</v>
      </c>
      <c r="I1015" t="s">
        <v>21</v>
      </c>
      <c r="J1015" t="s">
        <v>92</v>
      </c>
      <c r="K1015" s="4">
        <v>357.04</v>
      </c>
      <c r="L1015" t="s">
        <v>2411</v>
      </c>
      <c r="M1015" s="1">
        <v>46587</v>
      </c>
      <c r="N1015" t="s">
        <v>75</v>
      </c>
      <c r="O1015" t="s">
        <v>25</v>
      </c>
    </row>
    <row r="1016" spans="1:15" x14ac:dyDescent="0.25">
      <c r="A1016" t="s">
        <v>801</v>
      </c>
      <c r="B1016" t="s">
        <v>59</v>
      </c>
      <c r="C1016">
        <v>2016</v>
      </c>
      <c r="D1016" t="s">
        <v>108</v>
      </c>
      <c r="E1016" t="s">
        <v>78</v>
      </c>
      <c r="F1016" t="s">
        <v>135</v>
      </c>
      <c r="G1016">
        <v>640</v>
      </c>
      <c r="H1016" t="s">
        <v>56</v>
      </c>
      <c r="I1016" t="s">
        <v>39</v>
      </c>
      <c r="J1016" t="s">
        <v>121</v>
      </c>
      <c r="K1016" s="4">
        <v>372.23</v>
      </c>
      <c r="L1016" t="s">
        <v>2412</v>
      </c>
      <c r="M1016" s="1">
        <v>46597</v>
      </c>
      <c r="N1016" t="s">
        <v>75</v>
      </c>
      <c r="O1016" t="s">
        <v>25</v>
      </c>
    </row>
    <row r="1017" spans="1:15" x14ac:dyDescent="0.25">
      <c r="A1017" t="s">
        <v>2413</v>
      </c>
      <c r="B1017" t="s">
        <v>16</v>
      </c>
      <c r="C1017">
        <v>2018</v>
      </c>
      <c r="D1017" t="s">
        <v>95</v>
      </c>
      <c r="E1017" t="s">
        <v>54</v>
      </c>
      <c r="F1017" t="s">
        <v>2414</v>
      </c>
      <c r="G1017">
        <v>40</v>
      </c>
      <c r="H1017" t="s">
        <v>85</v>
      </c>
      <c r="I1017" t="s">
        <v>21</v>
      </c>
      <c r="J1017" t="s">
        <v>146</v>
      </c>
      <c r="K1017" s="4">
        <v>440.5</v>
      </c>
      <c r="L1017" t="s">
        <v>2415</v>
      </c>
      <c r="M1017" s="1">
        <v>46251</v>
      </c>
      <c r="N1017" t="s">
        <v>24</v>
      </c>
      <c r="O1017" t="s">
        <v>33</v>
      </c>
    </row>
    <row r="1018" spans="1:15" x14ac:dyDescent="0.25">
      <c r="A1018" t="s">
        <v>2416</v>
      </c>
      <c r="B1018" t="s">
        <v>53</v>
      </c>
      <c r="C1018">
        <v>2023</v>
      </c>
      <c r="D1018" t="s">
        <v>83</v>
      </c>
      <c r="E1018" t="s">
        <v>116</v>
      </c>
      <c r="F1018" t="s">
        <v>715</v>
      </c>
      <c r="G1018">
        <v>880</v>
      </c>
      <c r="H1018" t="s">
        <v>85</v>
      </c>
      <c r="I1018" t="s">
        <v>30</v>
      </c>
      <c r="J1018" t="s">
        <v>49</v>
      </c>
      <c r="K1018" s="4">
        <v>190.52</v>
      </c>
      <c r="L1018" t="s">
        <v>2417</v>
      </c>
      <c r="M1018" s="1">
        <v>46422</v>
      </c>
      <c r="N1018" t="s">
        <v>41</v>
      </c>
      <c r="O1018" t="s">
        <v>51</v>
      </c>
    </row>
    <row r="1019" spans="1:15" x14ac:dyDescent="0.25">
      <c r="A1019" t="s">
        <v>2418</v>
      </c>
      <c r="B1019" t="s">
        <v>70</v>
      </c>
      <c r="C1019">
        <v>2024</v>
      </c>
      <c r="D1019" t="s">
        <v>95</v>
      </c>
      <c r="E1019" t="s">
        <v>116</v>
      </c>
      <c r="F1019" t="s">
        <v>2181</v>
      </c>
      <c r="G1019">
        <v>280</v>
      </c>
      <c r="H1019" t="s">
        <v>62</v>
      </c>
      <c r="I1019" t="s">
        <v>73</v>
      </c>
      <c r="J1019" t="s">
        <v>146</v>
      </c>
      <c r="K1019" s="4">
        <v>375.47</v>
      </c>
      <c r="L1019" t="s">
        <v>2419</v>
      </c>
      <c r="M1019" s="1">
        <v>46887</v>
      </c>
      <c r="N1019" t="s">
        <v>41</v>
      </c>
      <c r="O1019" t="s">
        <v>33</v>
      </c>
    </row>
    <row r="1020" spans="1:15" x14ac:dyDescent="0.25">
      <c r="A1020" t="s">
        <v>2420</v>
      </c>
      <c r="B1020" t="s">
        <v>43</v>
      </c>
      <c r="C1020">
        <v>2012</v>
      </c>
      <c r="D1020" t="s">
        <v>95</v>
      </c>
      <c r="E1020" t="s">
        <v>99</v>
      </c>
      <c r="F1020" t="s">
        <v>2421</v>
      </c>
      <c r="G1020">
        <v>910</v>
      </c>
      <c r="H1020" t="s">
        <v>85</v>
      </c>
      <c r="I1020" t="s">
        <v>91</v>
      </c>
      <c r="J1020" t="s">
        <v>22</v>
      </c>
      <c r="K1020" s="4">
        <v>162.09</v>
      </c>
      <c r="L1020" t="s">
        <v>2422</v>
      </c>
      <c r="M1020" s="1">
        <v>46533</v>
      </c>
      <c r="N1020" t="s">
        <v>41</v>
      </c>
      <c r="O1020" t="s">
        <v>33</v>
      </c>
    </row>
    <row r="1021" spans="1:15" x14ac:dyDescent="0.25">
      <c r="A1021" t="s">
        <v>2423</v>
      </c>
      <c r="B1021" t="s">
        <v>59</v>
      </c>
      <c r="C1021">
        <v>2000</v>
      </c>
      <c r="D1021" t="s">
        <v>71</v>
      </c>
      <c r="E1021" t="s">
        <v>78</v>
      </c>
      <c r="F1021" t="s">
        <v>2424</v>
      </c>
      <c r="G1021">
        <v>300</v>
      </c>
      <c r="H1021" t="s">
        <v>85</v>
      </c>
      <c r="I1021" t="s">
        <v>30</v>
      </c>
      <c r="J1021" t="s">
        <v>121</v>
      </c>
      <c r="K1021" s="4">
        <v>357.4</v>
      </c>
      <c r="L1021" t="s">
        <v>2425</v>
      </c>
      <c r="M1021" s="1">
        <v>46522</v>
      </c>
      <c r="N1021" t="s">
        <v>41</v>
      </c>
      <c r="O1021" t="s">
        <v>25</v>
      </c>
    </row>
    <row r="1022" spans="1:15" x14ac:dyDescent="0.25">
      <c r="A1022" t="s">
        <v>2426</v>
      </c>
      <c r="B1022" t="s">
        <v>16</v>
      </c>
      <c r="C1022">
        <v>1994</v>
      </c>
      <c r="D1022" t="s">
        <v>17</v>
      </c>
      <c r="E1022" t="s">
        <v>116</v>
      </c>
      <c r="F1022" t="s">
        <v>2427</v>
      </c>
      <c r="G1022">
        <v>560</v>
      </c>
      <c r="H1022" t="s">
        <v>62</v>
      </c>
      <c r="I1022" t="s">
        <v>80</v>
      </c>
      <c r="J1022" t="s">
        <v>146</v>
      </c>
      <c r="K1022" s="4">
        <v>44.6</v>
      </c>
      <c r="L1022" t="s">
        <v>2428</v>
      </c>
      <c r="M1022" s="1">
        <v>46271</v>
      </c>
      <c r="N1022" t="s">
        <v>41</v>
      </c>
      <c r="O1022" t="s">
        <v>33</v>
      </c>
    </row>
    <row r="1023" spans="1:15" x14ac:dyDescent="0.25">
      <c r="A1023" t="s">
        <v>2429</v>
      </c>
      <c r="B1023" t="s">
        <v>70</v>
      </c>
      <c r="C1023">
        <v>2019</v>
      </c>
      <c r="D1023" t="s">
        <v>89</v>
      </c>
      <c r="E1023" t="s">
        <v>45</v>
      </c>
      <c r="F1023" t="s">
        <v>162</v>
      </c>
      <c r="G1023">
        <v>940</v>
      </c>
      <c r="H1023" t="s">
        <v>47</v>
      </c>
      <c r="I1023" t="s">
        <v>80</v>
      </c>
      <c r="J1023" t="s">
        <v>31</v>
      </c>
      <c r="K1023" s="4">
        <v>430.83</v>
      </c>
      <c r="L1023" t="s">
        <v>2430</v>
      </c>
      <c r="M1023" s="1">
        <v>46117</v>
      </c>
      <c r="N1023" t="s">
        <v>41</v>
      </c>
      <c r="O1023" t="s">
        <v>25</v>
      </c>
    </row>
    <row r="1024" spans="1:15" x14ac:dyDescent="0.25">
      <c r="A1024" t="s">
        <v>2431</v>
      </c>
      <c r="B1024" t="s">
        <v>59</v>
      </c>
      <c r="C1024">
        <v>1991</v>
      </c>
      <c r="D1024" t="s">
        <v>71</v>
      </c>
      <c r="E1024" t="s">
        <v>18</v>
      </c>
      <c r="F1024" t="s">
        <v>135</v>
      </c>
      <c r="G1024">
        <v>320</v>
      </c>
      <c r="H1024" t="s">
        <v>62</v>
      </c>
      <c r="I1024" t="s">
        <v>30</v>
      </c>
      <c r="J1024" t="s">
        <v>101</v>
      </c>
      <c r="K1024" s="4">
        <v>222.86</v>
      </c>
      <c r="L1024" t="s">
        <v>2432</v>
      </c>
      <c r="M1024" s="1">
        <v>46589</v>
      </c>
      <c r="N1024" t="s">
        <v>75</v>
      </c>
      <c r="O1024" t="s">
        <v>25</v>
      </c>
    </row>
    <row r="1025" spans="1:15" x14ac:dyDescent="0.25">
      <c r="A1025" t="s">
        <v>2433</v>
      </c>
      <c r="B1025" t="s">
        <v>134</v>
      </c>
      <c r="C1025">
        <v>1999</v>
      </c>
      <c r="D1025" t="s">
        <v>66</v>
      </c>
      <c r="E1025" t="s">
        <v>18</v>
      </c>
      <c r="F1025" t="s">
        <v>388</v>
      </c>
      <c r="G1025">
        <v>250</v>
      </c>
      <c r="H1025" t="s">
        <v>56</v>
      </c>
      <c r="I1025" t="s">
        <v>73</v>
      </c>
      <c r="J1025" t="s">
        <v>22</v>
      </c>
      <c r="K1025" s="4">
        <v>395.37</v>
      </c>
      <c r="L1025" t="s">
        <v>2434</v>
      </c>
      <c r="M1025" s="1">
        <v>46752</v>
      </c>
      <c r="N1025" t="s">
        <v>41</v>
      </c>
      <c r="O1025" t="s">
        <v>51</v>
      </c>
    </row>
    <row r="1026" spans="1:15" x14ac:dyDescent="0.25">
      <c r="A1026" t="s">
        <v>2435</v>
      </c>
      <c r="B1026" t="s">
        <v>16</v>
      </c>
      <c r="C1026">
        <v>1990</v>
      </c>
      <c r="D1026" t="s">
        <v>83</v>
      </c>
      <c r="E1026" t="s">
        <v>116</v>
      </c>
      <c r="F1026" t="s">
        <v>1026</v>
      </c>
      <c r="G1026">
        <v>40</v>
      </c>
      <c r="H1026" t="s">
        <v>20</v>
      </c>
      <c r="I1026" t="s">
        <v>21</v>
      </c>
      <c r="J1026" t="s">
        <v>92</v>
      </c>
      <c r="K1026" s="4">
        <v>412.67</v>
      </c>
      <c r="L1026" t="s">
        <v>2436</v>
      </c>
      <c r="M1026" s="1">
        <v>46132</v>
      </c>
      <c r="N1026" t="s">
        <v>41</v>
      </c>
      <c r="O1026" t="s">
        <v>51</v>
      </c>
    </row>
    <row r="1027" spans="1:15" x14ac:dyDescent="0.25">
      <c r="A1027" t="s">
        <v>2437</v>
      </c>
      <c r="B1027" t="s">
        <v>98</v>
      </c>
      <c r="C1027">
        <v>2016</v>
      </c>
      <c r="D1027" t="s">
        <v>83</v>
      </c>
      <c r="E1027" t="s">
        <v>60</v>
      </c>
      <c r="F1027" t="s">
        <v>2181</v>
      </c>
      <c r="G1027">
        <v>740</v>
      </c>
      <c r="H1027" t="s">
        <v>62</v>
      </c>
      <c r="I1027" t="s">
        <v>91</v>
      </c>
      <c r="J1027" t="s">
        <v>125</v>
      </c>
      <c r="K1027" s="4">
        <v>180.59</v>
      </c>
      <c r="L1027" t="s">
        <v>2438</v>
      </c>
      <c r="M1027" s="1">
        <v>46748</v>
      </c>
      <c r="N1027" t="s">
        <v>75</v>
      </c>
      <c r="O1027" t="s">
        <v>51</v>
      </c>
    </row>
    <row r="1028" spans="1:15" x14ac:dyDescent="0.25">
      <c r="A1028" t="s">
        <v>2439</v>
      </c>
      <c r="B1028" t="s">
        <v>53</v>
      </c>
      <c r="C1028">
        <v>1998</v>
      </c>
      <c r="D1028" t="s">
        <v>83</v>
      </c>
      <c r="E1028" t="s">
        <v>54</v>
      </c>
      <c r="F1028" t="s">
        <v>960</v>
      </c>
      <c r="G1028">
        <v>750</v>
      </c>
      <c r="H1028" t="s">
        <v>56</v>
      </c>
      <c r="I1028" t="s">
        <v>86</v>
      </c>
      <c r="J1028" t="s">
        <v>63</v>
      </c>
      <c r="K1028" s="4">
        <v>465.62</v>
      </c>
      <c r="L1028" t="s">
        <v>2440</v>
      </c>
      <c r="M1028" s="1">
        <v>46960</v>
      </c>
      <c r="N1028" t="s">
        <v>41</v>
      </c>
      <c r="O1028" t="s">
        <v>51</v>
      </c>
    </row>
    <row r="1029" spans="1:15" x14ac:dyDescent="0.25">
      <c r="A1029" t="s">
        <v>1236</v>
      </c>
      <c r="B1029" t="s">
        <v>138</v>
      </c>
      <c r="C1029">
        <v>1996</v>
      </c>
      <c r="D1029" t="s">
        <v>36</v>
      </c>
      <c r="E1029" t="s">
        <v>104</v>
      </c>
      <c r="F1029" t="s">
        <v>61</v>
      </c>
      <c r="G1029">
        <v>80</v>
      </c>
      <c r="H1029" t="s">
        <v>47</v>
      </c>
      <c r="I1029" t="s">
        <v>151</v>
      </c>
      <c r="J1029" t="s">
        <v>31</v>
      </c>
      <c r="K1029" s="4">
        <v>73.62</v>
      </c>
      <c r="L1029" t="s">
        <v>2441</v>
      </c>
      <c r="M1029" s="1">
        <v>46188</v>
      </c>
      <c r="N1029" t="s">
        <v>24</v>
      </c>
      <c r="O1029" t="s">
        <v>33</v>
      </c>
    </row>
    <row r="1030" spans="1:15" x14ac:dyDescent="0.25">
      <c r="A1030" t="s">
        <v>2442</v>
      </c>
      <c r="B1030" t="s">
        <v>53</v>
      </c>
      <c r="C1030">
        <v>2003</v>
      </c>
      <c r="D1030" t="s">
        <v>44</v>
      </c>
      <c r="E1030" t="s">
        <v>60</v>
      </c>
      <c r="F1030" t="s">
        <v>67</v>
      </c>
      <c r="G1030">
        <v>850</v>
      </c>
      <c r="H1030" t="s">
        <v>29</v>
      </c>
      <c r="I1030" t="s">
        <v>21</v>
      </c>
      <c r="J1030" t="s">
        <v>110</v>
      </c>
      <c r="K1030" s="4">
        <v>336.24</v>
      </c>
      <c r="L1030" t="s">
        <v>2443</v>
      </c>
      <c r="M1030" s="1">
        <v>46822</v>
      </c>
      <c r="N1030" t="s">
        <v>24</v>
      </c>
      <c r="O1030" t="s">
        <v>33</v>
      </c>
    </row>
    <row r="1031" spans="1:15" x14ac:dyDescent="0.25">
      <c r="A1031" t="s">
        <v>2444</v>
      </c>
      <c r="B1031" t="s">
        <v>98</v>
      </c>
      <c r="C1031">
        <v>1993</v>
      </c>
      <c r="D1031" t="s">
        <v>36</v>
      </c>
      <c r="E1031" t="s">
        <v>45</v>
      </c>
      <c r="F1031" t="s">
        <v>162</v>
      </c>
      <c r="G1031">
        <v>90</v>
      </c>
      <c r="H1031" t="s">
        <v>56</v>
      </c>
      <c r="I1031" t="s">
        <v>73</v>
      </c>
      <c r="J1031" t="s">
        <v>101</v>
      </c>
      <c r="K1031" s="4">
        <v>404.02</v>
      </c>
      <c r="L1031" t="s">
        <v>2445</v>
      </c>
      <c r="M1031" s="1">
        <v>46140</v>
      </c>
      <c r="N1031" t="s">
        <v>41</v>
      </c>
      <c r="O1031" t="s">
        <v>33</v>
      </c>
    </row>
    <row r="1032" spans="1:15" x14ac:dyDescent="0.25">
      <c r="A1032" t="s">
        <v>2446</v>
      </c>
      <c r="B1032" t="s">
        <v>70</v>
      </c>
      <c r="C1032">
        <v>1995</v>
      </c>
      <c r="D1032" t="s">
        <v>66</v>
      </c>
      <c r="E1032" t="s">
        <v>116</v>
      </c>
      <c r="F1032" t="s">
        <v>1715</v>
      </c>
      <c r="G1032">
        <v>400</v>
      </c>
      <c r="H1032" t="s">
        <v>62</v>
      </c>
      <c r="I1032" t="s">
        <v>73</v>
      </c>
      <c r="J1032" t="s">
        <v>110</v>
      </c>
      <c r="K1032" s="4">
        <v>211.12</v>
      </c>
      <c r="L1032" t="s">
        <v>2447</v>
      </c>
      <c r="M1032" s="1">
        <v>46120</v>
      </c>
      <c r="N1032" t="s">
        <v>41</v>
      </c>
      <c r="O1032" t="s">
        <v>33</v>
      </c>
    </row>
    <row r="1033" spans="1:15" x14ac:dyDescent="0.25">
      <c r="A1033" t="s">
        <v>2448</v>
      </c>
      <c r="B1033" t="s">
        <v>43</v>
      </c>
      <c r="C1033">
        <v>2010</v>
      </c>
      <c r="D1033" t="s">
        <v>83</v>
      </c>
      <c r="E1033" t="s">
        <v>104</v>
      </c>
      <c r="F1033" t="s">
        <v>490</v>
      </c>
      <c r="G1033">
        <v>370</v>
      </c>
      <c r="H1033" t="s">
        <v>38</v>
      </c>
      <c r="I1033" t="s">
        <v>39</v>
      </c>
      <c r="J1033" t="s">
        <v>121</v>
      </c>
      <c r="K1033" s="4">
        <v>150.41999999999999</v>
      </c>
      <c r="L1033" t="s">
        <v>2449</v>
      </c>
      <c r="M1033" s="1">
        <v>46846</v>
      </c>
      <c r="N1033" t="s">
        <v>24</v>
      </c>
      <c r="O1033" t="s">
        <v>51</v>
      </c>
    </row>
    <row r="1034" spans="1:15" x14ac:dyDescent="0.25">
      <c r="A1034" t="s">
        <v>2450</v>
      </c>
      <c r="B1034" t="s">
        <v>16</v>
      </c>
      <c r="C1034">
        <v>2017</v>
      </c>
      <c r="D1034" t="s">
        <v>44</v>
      </c>
      <c r="E1034" t="s">
        <v>99</v>
      </c>
      <c r="F1034" t="s">
        <v>61</v>
      </c>
      <c r="G1034">
        <v>540</v>
      </c>
      <c r="H1034" t="s">
        <v>29</v>
      </c>
      <c r="I1034" t="s">
        <v>21</v>
      </c>
      <c r="J1034" t="s">
        <v>31</v>
      </c>
      <c r="K1034" s="4">
        <v>242.3</v>
      </c>
      <c r="L1034" t="s">
        <v>2451</v>
      </c>
      <c r="M1034" s="1">
        <v>46756</v>
      </c>
      <c r="N1034" t="s">
        <v>75</v>
      </c>
      <c r="O1034" t="s">
        <v>25</v>
      </c>
    </row>
    <row r="1035" spans="1:15" x14ac:dyDescent="0.25">
      <c r="A1035" t="s">
        <v>2452</v>
      </c>
      <c r="B1035" t="s">
        <v>43</v>
      </c>
      <c r="C1035">
        <v>2008</v>
      </c>
      <c r="D1035" t="s">
        <v>71</v>
      </c>
      <c r="E1035" t="s">
        <v>45</v>
      </c>
      <c r="F1035" t="s">
        <v>597</v>
      </c>
      <c r="G1035">
        <v>110</v>
      </c>
      <c r="H1035" t="s">
        <v>85</v>
      </c>
      <c r="I1035" t="s">
        <v>39</v>
      </c>
      <c r="J1035" t="s">
        <v>22</v>
      </c>
      <c r="K1035" s="4">
        <v>162.56</v>
      </c>
      <c r="L1035" t="s">
        <v>2453</v>
      </c>
      <c r="M1035" s="1">
        <v>46141</v>
      </c>
      <c r="N1035" t="s">
        <v>75</v>
      </c>
      <c r="O1035" t="s">
        <v>51</v>
      </c>
    </row>
    <row r="1036" spans="1:15" x14ac:dyDescent="0.25">
      <c r="A1036" t="s">
        <v>2454</v>
      </c>
      <c r="B1036" t="s">
        <v>134</v>
      </c>
      <c r="C1036">
        <v>1998</v>
      </c>
      <c r="D1036" t="s">
        <v>27</v>
      </c>
      <c r="E1036" t="s">
        <v>18</v>
      </c>
      <c r="F1036" t="s">
        <v>388</v>
      </c>
      <c r="G1036">
        <v>400</v>
      </c>
      <c r="H1036" t="s">
        <v>38</v>
      </c>
      <c r="I1036" t="s">
        <v>80</v>
      </c>
      <c r="J1036" t="s">
        <v>125</v>
      </c>
      <c r="K1036" s="4">
        <v>158.4</v>
      </c>
      <c r="L1036" t="s">
        <v>2455</v>
      </c>
      <c r="M1036" s="1">
        <v>46083</v>
      </c>
      <c r="N1036" t="s">
        <v>75</v>
      </c>
      <c r="O1036" t="s">
        <v>25</v>
      </c>
    </row>
    <row r="1037" spans="1:15" x14ac:dyDescent="0.25">
      <c r="A1037" t="s">
        <v>2202</v>
      </c>
      <c r="B1037" t="s">
        <v>35</v>
      </c>
      <c r="C1037">
        <v>2019</v>
      </c>
      <c r="D1037" t="s">
        <v>89</v>
      </c>
      <c r="E1037" t="s">
        <v>45</v>
      </c>
      <c r="F1037" t="s">
        <v>28</v>
      </c>
      <c r="G1037">
        <v>790</v>
      </c>
      <c r="H1037" t="s">
        <v>47</v>
      </c>
      <c r="I1037" t="s">
        <v>80</v>
      </c>
      <c r="J1037" t="s">
        <v>22</v>
      </c>
      <c r="K1037" s="4">
        <v>218.34</v>
      </c>
      <c r="L1037" t="s">
        <v>2456</v>
      </c>
      <c r="M1037" s="1">
        <v>46834</v>
      </c>
      <c r="N1037" t="s">
        <v>24</v>
      </c>
      <c r="O1037" t="s">
        <v>33</v>
      </c>
    </row>
    <row r="1038" spans="1:15" x14ac:dyDescent="0.25">
      <c r="A1038" t="s">
        <v>2457</v>
      </c>
      <c r="B1038" t="s">
        <v>98</v>
      </c>
      <c r="C1038">
        <v>2006</v>
      </c>
      <c r="D1038" t="s">
        <v>36</v>
      </c>
      <c r="E1038" t="s">
        <v>45</v>
      </c>
      <c r="F1038" t="s">
        <v>1881</v>
      </c>
      <c r="G1038">
        <v>930</v>
      </c>
      <c r="H1038" t="s">
        <v>56</v>
      </c>
      <c r="I1038" t="s">
        <v>48</v>
      </c>
      <c r="J1038" t="s">
        <v>125</v>
      </c>
      <c r="K1038" s="4">
        <v>489.66</v>
      </c>
      <c r="L1038" t="s">
        <v>2458</v>
      </c>
      <c r="M1038" s="1">
        <v>46303</v>
      </c>
      <c r="N1038" t="s">
        <v>24</v>
      </c>
      <c r="O1038" t="s">
        <v>25</v>
      </c>
    </row>
    <row r="1039" spans="1:15" x14ac:dyDescent="0.25">
      <c r="A1039" t="s">
        <v>2459</v>
      </c>
      <c r="B1039" t="s">
        <v>134</v>
      </c>
      <c r="C1039">
        <v>2008</v>
      </c>
      <c r="D1039" t="s">
        <v>89</v>
      </c>
      <c r="E1039" t="s">
        <v>104</v>
      </c>
      <c r="F1039" t="s">
        <v>375</v>
      </c>
      <c r="G1039">
        <v>430</v>
      </c>
      <c r="H1039" t="s">
        <v>38</v>
      </c>
      <c r="I1039" t="s">
        <v>186</v>
      </c>
      <c r="J1039" t="s">
        <v>101</v>
      </c>
      <c r="K1039" s="4">
        <v>416.26</v>
      </c>
      <c r="L1039" t="s">
        <v>2460</v>
      </c>
      <c r="M1039" s="1">
        <v>46481</v>
      </c>
      <c r="N1039" t="s">
        <v>75</v>
      </c>
      <c r="O1039" t="s">
        <v>25</v>
      </c>
    </row>
    <row r="1040" spans="1:15" x14ac:dyDescent="0.25">
      <c r="A1040" t="s">
        <v>2461</v>
      </c>
      <c r="B1040" t="s">
        <v>43</v>
      </c>
      <c r="C1040">
        <v>2011</v>
      </c>
      <c r="D1040" t="s">
        <v>66</v>
      </c>
      <c r="E1040" t="s">
        <v>99</v>
      </c>
      <c r="F1040" t="s">
        <v>1189</v>
      </c>
      <c r="G1040">
        <v>820</v>
      </c>
      <c r="H1040" t="s">
        <v>62</v>
      </c>
      <c r="I1040" t="s">
        <v>91</v>
      </c>
      <c r="J1040" t="s">
        <v>110</v>
      </c>
      <c r="K1040" s="4">
        <v>402.28</v>
      </c>
      <c r="L1040" t="s">
        <v>2462</v>
      </c>
      <c r="M1040" s="1">
        <v>46794</v>
      </c>
      <c r="N1040" t="s">
        <v>75</v>
      </c>
      <c r="O1040" t="s">
        <v>33</v>
      </c>
    </row>
    <row r="1041" spans="1:15" x14ac:dyDescent="0.25">
      <c r="A1041" t="s">
        <v>2463</v>
      </c>
      <c r="B1041" t="s">
        <v>98</v>
      </c>
      <c r="C1041">
        <v>1999</v>
      </c>
      <c r="D1041" t="s">
        <v>36</v>
      </c>
      <c r="E1041" t="s">
        <v>60</v>
      </c>
      <c r="F1041" t="s">
        <v>61</v>
      </c>
      <c r="G1041">
        <v>950</v>
      </c>
      <c r="H1041" t="s">
        <v>29</v>
      </c>
      <c r="I1041" t="s">
        <v>21</v>
      </c>
      <c r="J1041" t="s">
        <v>146</v>
      </c>
      <c r="K1041" s="4">
        <v>139.13999999999999</v>
      </c>
      <c r="L1041" t="s">
        <v>2464</v>
      </c>
      <c r="M1041" s="1">
        <v>46232</v>
      </c>
      <c r="N1041" t="s">
        <v>75</v>
      </c>
      <c r="O1041" t="s">
        <v>25</v>
      </c>
    </row>
    <row r="1042" spans="1:15" x14ac:dyDescent="0.25">
      <c r="A1042" t="s">
        <v>2465</v>
      </c>
      <c r="B1042" t="s">
        <v>98</v>
      </c>
      <c r="C1042">
        <v>2001</v>
      </c>
      <c r="D1042" t="s">
        <v>27</v>
      </c>
      <c r="E1042" t="s">
        <v>60</v>
      </c>
      <c r="F1042" t="s">
        <v>375</v>
      </c>
      <c r="G1042">
        <v>260</v>
      </c>
      <c r="H1042" t="s">
        <v>62</v>
      </c>
      <c r="I1042" t="s">
        <v>151</v>
      </c>
      <c r="J1042" t="s">
        <v>125</v>
      </c>
      <c r="K1042" s="4">
        <v>201.91</v>
      </c>
      <c r="L1042" t="s">
        <v>2466</v>
      </c>
      <c r="M1042" s="1">
        <v>46023</v>
      </c>
      <c r="N1042" t="s">
        <v>75</v>
      </c>
      <c r="O1042" t="s">
        <v>33</v>
      </c>
    </row>
    <row r="1043" spans="1:15" x14ac:dyDescent="0.25">
      <c r="A1043" t="s">
        <v>2467</v>
      </c>
      <c r="B1043" t="s">
        <v>77</v>
      </c>
      <c r="C1043">
        <v>2012</v>
      </c>
      <c r="D1043" t="s">
        <v>108</v>
      </c>
      <c r="E1043" t="s">
        <v>119</v>
      </c>
      <c r="F1043" t="s">
        <v>67</v>
      </c>
      <c r="G1043">
        <v>540</v>
      </c>
      <c r="H1043" t="s">
        <v>47</v>
      </c>
      <c r="I1043" t="s">
        <v>73</v>
      </c>
      <c r="J1043" t="s">
        <v>49</v>
      </c>
      <c r="K1043" s="4">
        <v>307.91000000000003</v>
      </c>
      <c r="L1043" t="s">
        <v>2468</v>
      </c>
      <c r="M1043" s="1">
        <v>46963</v>
      </c>
      <c r="N1043" t="s">
        <v>41</v>
      </c>
      <c r="O1043" t="s">
        <v>51</v>
      </c>
    </row>
    <row r="1044" spans="1:15" x14ac:dyDescent="0.25">
      <c r="A1044" t="s">
        <v>2469</v>
      </c>
      <c r="B1044" t="s">
        <v>138</v>
      </c>
      <c r="C1044">
        <v>2019</v>
      </c>
      <c r="D1044" t="s">
        <v>71</v>
      </c>
      <c r="E1044" t="s">
        <v>78</v>
      </c>
      <c r="F1044" t="s">
        <v>339</v>
      </c>
      <c r="G1044">
        <v>340</v>
      </c>
      <c r="H1044" t="s">
        <v>20</v>
      </c>
      <c r="I1044" t="s">
        <v>39</v>
      </c>
      <c r="J1044" t="s">
        <v>63</v>
      </c>
      <c r="K1044" s="4">
        <v>164.57</v>
      </c>
      <c r="L1044" t="s">
        <v>2470</v>
      </c>
      <c r="M1044" s="1">
        <v>45922</v>
      </c>
      <c r="N1044" t="s">
        <v>75</v>
      </c>
      <c r="O1044" t="s">
        <v>51</v>
      </c>
    </row>
    <row r="1045" spans="1:15" x14ac:dyDescent="0.25">
      <c r="A1045" t="s">
        <v>2471</v>
      </c>
      <c r="B1045" t="s">
        <v>59</v>
      </c>
      <c r="C1045">
        <v>1992</v>
      </c>
      <c r="D1045" t="s">
        <v>17</v>
      </c>
      <c r="E1045" t="s">
        <v>45</v>
      </c>
      <c r="F1045" t="s">
        <v>135</v>
      </c>
      <c r="G1045">
        <v>790</v>
      </c>
      <c r="H1045" t="s">
        <v>85</v>
      </c>
      <c r="I1045" t="s">
        <v>73</v>
      </c>
      <c r="J1045" t="s">
        <v>92</v>
      </c>
      <c r="K1045" s="4">
        <v>310.86</v>
      </c>
      <c r="L1045" t="s">
        <v>2472</v>
      </c>
      <c r="M1045" s="1">
        <v>46750</v>
      </c>
      <c r="N1045" t="s">
        <v>24</v>
      </c>
      <c r="O1045" t="s">
        <v>33</v>
      </c>
    </row>
    <row r="1046" spans="1:15" x14ac:dyDescent="0.25">
      <c r="A1046" t="s">
        <v>2473</v>
      </c>
      <c r="B1046" t="s">
        <v>16</v>
      </c>
      <c r="C1046">
        <v>2006</v>
      </c>
      <c r="D1046" t="s">
        <v>36</v>
      </c>
      <c r="E1046" t="s">
        <v>18</v>
      </c>
      <c r="F1046" t="s">
        <v>499</v>
      </c>
      <c r="G1046">
        <v>940</v>
      </c>
      <c r="H1046" t="s">
        <v>29</v>
      </c>
      <c r="I1046" t="s">
        <v>80</v>
      </c>
      <c r="J1046" t="s">
        <v>49</v>
      </c>
      <c r="K1046" s="4">
        <v>323.06</v>
      </c>
      <c r="L1046" t="s">
        <v>2474</v>
      </c>
      <c r="M1046" s="1">
        <v>46075</v>
      </c>
      <c r="N1046" t="s">
        <v>41</v>
      </c>
      <c r="O1046" t="s">
        <v>51</v>
      </c>
    </row>
    <row r="1047" spans="1:15" x14ac:dyDescent="0.25">
      <c r="A1047" t="s">
        <v>2475</v>
      </c>
      <c r="B1047" t="s">
        <v>134</v>
      </c>
      <c r="C1047">
        <v>1994</v>
      </c>
      <c r="D1047" t="s">
        <v>17</v>
      </c>
      <c r="E1047" t="s">
        <v>60</v>
      </c>
      <c r="F1047" t="s">
        <v>79</v>
      </c>
      <c r="G1047">
        <v>620</v>
      </c>
      <c r="H1047" t="s">
        <v>56</v>
      </c>
      <c r="I1047" t="s">
        <v>48</v>
      </c>
      <c r="J1047" t="s">
        <v>110</v>
      </c>
      <c r="K1047" s="4">
        <v>327.02999999999997</v>
      </c>
      <c r="L1047" t="s">
        <v>2476</v>
      </c>
      <c r="M1047" s="1">
        <v>46817</v>
      </c>
      <c r="N1047" t="s">
        <v>24</v>
      </c>
      <c r="O1047" t="s">
        <v>25</v>
      </c>
    </row>
    <row r="1048" spans="1:15" x14ac:dyDescent="0.25">
      <c r="A1048" t="s">
        <v>2477</v>
      </c>
      <c r="B1048" t="s">
        <v>59</v>
      </c>
      <c r="C1048">
        <v>2017</v>
      </c>
      <c r="D1048" t="s">
        <v>95</v>
      </c>
      <c r="E1048" t="s">
        <v>72</v>
      </c>
      <c r="F1048" t="s">
        <v>2478</v>
      </c>
      <c r="G1048">
        <v>750</v>
      </c>
      <c r="H1048" t="s">
        <v>62</v>
      </c>
      <c r="I1048" t="s">
        <v>151</v>
      </c>
      <c r="J1048" t="s">
        <v>49</v>
      </c>
      <c r="K1048" s="4">
        <v>96.1</v>
      </c>
      <c r="L1048" t="s">
        <v>2479</v>
      </c>
      <c r="M1048" s="1">
        <v>46120</v>
      </c>
      <c r="N1048" t="s">
        <v>24</v>
      </c>
      <c r="O1048" t="s">
        <v>51</v>
      </c>
    </row>
    <row r="1049" spans="1:15" x14ac:dyDescent="0.25">
      <c r="A1049" t="s">
        <v>2480</v>
      </c>
      <c r="B1049" t="s">
        <v>70</v>
      </c>
      <c r="C1049">
        <v>2019</v>
      </c>
      <c r="D1049" t="s">
        <v>17</v>
      </c>
      <c r="E1049" t="s">
        <v>99</v>
      </c>
      <c r="F1049" t="s">
        <v>2481</v>
      </c>
      <c r="G1049">
        <v>130</v>
      </c>
      <c r="H1049" t="s">
        <v>85</v>
      </c>
      <c r="I1049" t="s">
        <v>151</v>
      </c>
      <c r="J1049" t="s">
        <v>121</v>
      </c>
      <c r="K1049" s="4">
        <v>134.19999999999999</v>
      </c>
      <c r="L1049" t="s">
        <v>2482</v>
      </c>
      <c r="M1049" s="1">
        <v>46616</v>
      </c>
      <c r="N1049" t="s">
        <v>41</v>
      </c>
      <c r="O1049" t="s">
        <v>51</v>
      </c>
    </row>
    <row r="1050" spans="1:15" x14ac:dyDescent="0.25">
      <c r="A1050" t="s">
        <v>2483</v>
      </c>
      <c r="B1050" t="s">
        <v>77</v>
      </c>
      <c r="C1050">
        <v>2022</v>
      </c>
      <c r="D1050" t="s">
        <v>17</v>
      </c>
      <c r="E1050" t="s">
        <v>78</v>
      </c>
      <c r="F1050" t="s">
        <v>2484</v>
      </c>
      <c r="G1050">
        <v>230</v>
      </c>
      <c r="H1050" t="s">
        <v>38</v>
      </c>
      <c r="I1050" t="s">
        <v>48</v>
      </c>
      <c r="J1050" t="s">
        <v>110</v>
      </c>
      <c r="K1050" s="4">
        <v>489.4</v>
      </c>
      <c r="L1050" t="s">
        <v>2485</v>
      </c>
      <c r="M1050" s="1">
        <v>46849</v>
      </c>
      <c r="N1050" t="s">
        <v>75</v>
      </c>
      <c r="O1050" t="s">
        <v>25</v>
      </c>
    </row>
    <row r="1051" spans="1:15" x14ac:dyDescent="0.25">
      <c r="A1051" t="s">
        <v>2486</v>
      </c>
      <c r="B1051" t="s">
        <v>43</v>
      </c>
      <c r="C1051">
        <v>2011</v>
      </c>
      <c r="D1051" t="s">
        <v>83</v>
      </c>
      <c r="E1051" t="s">
        <v>78</v>
      </c>
      <c r="F1051" t="s">
        <v>722</v>
      </c>
      <c r="G1051">
        <v>800</v>
      </c>
      <c r="H1051" t="s">
        <v>38</v>
      </c>
      <c r="I1051" t="s">
        <v>48</v>
      </c>
      <c r="J1051" t="s">
        <v>92</v>
      </c>
      <c r="K1051" s="4">
        <v>21.17</v>
      </c>
      <c r="L1051" t="s">
        <v>2487</v>
      </c>
      <c r="M1051" s="1">
        <v>46661</v>
      </c>
      <c r="N1051" t="s">
        <v>75</v>
      </c>
      <c r="O1051" t="s">
        <v>51</v>
      </c>
    </row>
    <row r="1052" spans="1:15" x14ac:dyDescent="0.25">
      <c r="A1052" t="s">
        <v>2488</v>
      </c>
      <c r="B1052" t="s">
        <v>43</v>
      </c>
      <c r="C1052">
        <v>1998</v>
      </c>
      <c r="D1052" t="s">
        <v>108</v>
      </c>
      <c r="E1052" t="s">
        <v>99</v>
      </c>
      <c r="F1052" t="s">
        <v>139</v>
      </c>
      <c r="G1052">
        <v>690</v>
      </c>
      <c r="H1052" t="s">
        <v>56</v>
      </c>
      <c r="I1052" t="s">
        <v>39</v>
      </c>
      <c r="J1052" t="s">
        <v>146</v>
      </c>
      <c r="K1052" s="4">
        <v>291.25</v>
      </c>
      <c r="L1052" t="s">
        <v>2489</v>
      </c>
      <c r="M1052" s="1">
        <v>46113</v>
      </c>
      <c r="N1052" t="s">
        <v>41</v>
      </c>
      <c r="O1052" t="s">
        <v>25</v>
      </c>
    </row>
    <row r="1053" spans="1:15" x14ac:dyDescent="0.25">
      <c r="A1053" t="s">
        <v>2490</v>
      </c>
      <c r="B1053" t="s">
        <v>98</v>
      </c>
      <c r="C1053">
        <v>2015</v>
      </c>
      <c r="D1053" t="s">
        <v>44</v>
      </c>
      <c r="E1053" t="s">
        <v>104</v>
      </c>
      <c r="F1053" t="s">
        <v>139</v>
      </c>
      <c r="G1053">
        <v>870</v>
      </c>
      <c r="H1053" t="s">
        <v>56</v>
      </c>
      <c r="I1053" t="s">
        <v>21</v>
      </c>
      <c r="J1053" t="s">
        <v>22</v>
      </c>
      <c r="K1053" s="4">
        <v>307.13</v>
      </c>
      <c r="L1053" t="s">
        <v>2491</v>
      </c>
      <c r="M1053" s="1">
        <v>46733</v>
      </c>
      <c r="N1053" t="s">
        <v>75</v>
      </c>
      <c r="O1053" t="s">
        <v>25</v>
      </c>
    </row>
    <row r="1054" spans="1:15" x14ac:dyDescent="0.25">
      <c r="A1054" t="s">
        <v>2492</v>
      </c>
      <c r="B1054" t="s">
        <v>53</v>
      </c>
      <c r="C1054">
        <v>2002</v>
      </c>
      <c r="D1054" t="s">
        <v>108</v>
      </c>
      <c r="E1054" t="s">
        <v>72</v>
      </c>
      <c r="F1054" t="s">
        <v>250</v>
      </c>
      <c r="G1054">
        <v>810</v>
      </c>
      <c r="H1054" t="s">
        <v>85</v>
      </c>
      <c r="I1054" t="s">
        <v>39</v>
      </c>
      <c r="J1054" t="s">
        <v>63</v>
      </c>
      <c r="K1054" s="4">
        <v>151.44</v>
      </c>
      <c r="L1054" t="s">
        <v>2493</v>
      </c>
      <c r="M1054" s="1">
        <v>46474</v>
      </c>
      <c r="N1054" t="s">
        <v>24</v>
      </c>
      <c r="O1054" t="s">
        <v>25</v>
      </c>
    </row>
    <row r="1055" spans="1:15" x14ac:dyDescent="0.25">
      <c r="A1055" t="s">
        <v>2494</v>
      </c>
      <c r="B1055" t="s">
        <v>53</v>
      </c>
      <c r="C1055">
        <v>2018</v>
      </c>
      <c r="D1055" t="s">
        <v>17</v>
      </c>
      <c r="E1055" t="s">
        <v>54</v>
      </c>
      <c r="F1055" t="s">
        <v>1097</v>
      </c>
      <c r="G1055">
        <v>920</v>
      </c>
      <c r="H1055" t="s">
        <v>47</v>
      </c>
      <c r="I1055" t="s">
        <v>30</v>
      </c>
      <c r="J1055" t="s">
        <v>121</v>
      </c>
      <c r="K1055" s="4">
        <v>287.07</v>
      </c>
      <c r="L1055" t="s">
        <v>2495</v>
      </c>
      <c r="M1055" s="1">
        <v>46086</v>
      </c>
      <c r="N1055" t="s">
        <v>75</v>
      </c>
      <c r="O1055" t="s">
        <v>25</v>
      </c>
    </row>
    <row r="1056" spans="1:15" x14ac:dyDescent="0.25">
      <c r="A1056" t="s">
        <v>2496</v>
      </c>
      <c r="B1056" t="s">
        <v>70</v>
      </c>
      <c r="C1056">
        <v>2021</v>
      </c>
      <c r="D1056" t="s">
        <v>66</v>
      </c>
      <c r="E1056" t="s">
        <v>54</v>
      </c>
      <c r="F1056" t="s">
        <v>590</v>
      </c>
      <c r="G1056">
        <v>350</v>
      </c>
      <c r="H1056" t="s">
        <v>38</v>
      </c>
      <c r="I1056" t="s">
        <v>30</v>
      </c>
      <c r="J1056" t="s">
        <v>31</v>
      </c>
      <c r="K1056" s="4">
        <v>124.15</v>
      </c>
      <c r="L1056" t="s">
        <v>2497</v>
      </c>
      <c r="M1056" s="1">
        <v>46050</v>
      </c>
      <c r="N1056" t="s">
        <v>75</v>
      </c>
      <c r="O1056" t="s">
        <v>25</v>
      </c>
    </row>
    <row r="1057" spans="1:15" x14ac:dyDescent="0.25">
      <c r="A1057" t="s">
        <v>2498</v>
      </c>
      <c r="B1057" t="s">
        <v>35</v>
      </c>
      <c r="C1057">
        <v>1990</v>
      </c>
      <c r="D1057" t="s">
        <v>44</v>
      </c>
      <c r="E1057" t="s">
        <v>45</v>
      </c>
      <c r="F1057" t="s">
        <v>513</v>
      </c>
      <c r="G1057">
        <v>610</v>
      </c>
      <c r="H1057" t="s">
        <v>85</v>
      </c>
      <c r="I1057" t="s">
        <v>186</v>
      </c>
      <c r="J1057" t="s">
        <v>101</v>
      </c>
      <c r="K1057" s="4">
        <v>430.14</v>
      </c>
      <c r="L1057" t="s">
        <v>2499</v>
      </c>
      <c r="M1057" s="1">
        <v>45963</v>
      </c>
      <c r="N1057" t="s">
        <v>75</v>
      </c>
      <c r="O1057" t="s">
        <v>51</v>
      </c>
    </row>
    <row r="1058" spans="1:15" x14ac:dyDescent="0.25">
      <c r="A1058" t="s">
        <v>2395</v>
      </c>
      <c r="B1058" t="s">
        <v>59</v>
      </c>
      <c r="C1058">
        <v>1990</v>
      </c>
      <c r="D1058" t="s">
        <v>89</v>
      </c>
      <c r="E1058" t="s">
        <v>45</v>
      </c>
      <c r="F1058" t="s">
        <v>205</v>
      </c>
      <c r="G1058">
        <v>810</v>
      </c>
      <c r="H1058" t="s">
        <v>62</v>
      </c>
      <c r="I1058" t="s">
        <v>39</v>
      </c>
      <c r="J1058" t="s">
        <v>63</v>
      </c>
      <c r="K1058" s="4">
        <v>347.26</v>
      </c>
      <c r="L1058" t="s">
        <v>2500</v>
      </c>
      <c r="M1058" s="1">
        <v>46189</v>
      </c>
      <c r="N1058" t="s">
        <v>41</v>
      </c>
      <c r="O1058" t="s">
        <v>51</v>
      </c>
    </row>
    <row r="1059" spans="1:15" x14ac:dyDescent="0.25">
      <c r="A1059" t="s">
        <v>2501</v>
      </c>
      <c r="B1059" t="s">
        <v>53</v>
      </c>
      <c r="C1059">
        <v>1995</v>
      </c>
      <c r="D1059" t="s">
        <v>66</v>
      </c>
      <c r="E1059" t="s">
        <v>99</v>
      </c>
      <c r="F1059" t="s">
        <v>2502</v>
      </c>
      <c r="G1059">
        <v>510</v>
      </c>
      <c r="H1059" t="s">
        <v>56</v>
      </c>
      <c r="I1059" t="s">
        <v>30</v>
      </c>
      <c r="J1059" t="s">
        <v>92</v>
      </c>
      <c r="K1059" s="4">
        <v>341.82</v>
      </c>
      <c r="L1059" t="s">
        <v>2503</v>
      </c>
      <c r="M1059" s="1">
        <v>46833</v>
      </c>
      <c r="N1059" t="s">
        <v>41</v>
      </c>
      <c r="O1059" t="s">
        <v>51</v>
      </c>
    </row>
    <row r="1060" spans="1:15" x14ac:dyDescent="0.25">
      <c r="A1060" t="s">
        <v>2504</v>
      </c>
      <c r="B1060" t="s">
        <v>98</v>
      </c>
      <c r="C1060">
        <v>2016</v>
      </c>
      <c r="D1060" t="s">
        <v>108</v>
      </c>
      <c r="E1060" t="s">
        <v>54</v>
      </c>
      <c r="F1060" t="s">
        <v>250</v>
      </c>
      <c r="G1060">
        <v>220</v>
      </c>
      <c r="H1060" t="s">
        <v>56</v>
      </c>
      <c r="I1060" t="s">
        <v>91</v>
      </c>
      <c r="J1060" t="s">
        <v>49</v>
      </c>
      <c r="K1060" s="4">
        <v>67.55</v>
      </c>
      <c r="L1060" t="s">
        <v>2505</v>
      </c>
      <c r="M1060" s="1">
        <v>45949</v>
      </c>
      <c r="N1060" t="s">
        <v>75</v>
      </c>
      <c r="O1060" t="s">
        <v>33</v>
      </c>
    </row>
    <row r="1061" spans="1:15" x14ac:dyDescent="0.25">
      <c r="A1061" t="s">
        <v>2506</v>
      </c>
      <c r="B1061" t="s">
        <v>70</v>
      </c>
      <c r="C1061">
        <v>2005</v>
      </c>
      <c r="D1061" t="s">
        <v>95</v>
      </c>
      <c r="E1061" t="s">
        <v>116</v>
      </c>
      <c r="F1061" t="s">
        <v>162</v>
      </c>
      <c r="G1061">
        <v>720</v>
      </c>
      <c r="H1061" t="s">
        <v>29</v>
      </c>
      <c r="I1061" t="s">
        <v>73</v>
      </c>
      <c r="J1061" t="s">
        <v>22</v>
      </c>
      <c r="K1061" s="4">
        <v>80.8</v>
      </c>
      <c r="L1061" t="s">
        <v>2507</v>
      </c>
      <c r="M1061" s="1">
        <v>46133</v>
      </c>
      <c r="N1061" t="s">
        <v>24</v>
      </c>
      <c r="O1061" t="s">
        <v>51</v>
      </c>
    </row>
    <row r="1062" spans="1:15" x14ac:dyDescent="0.25">
      <c r="A1062" t="s">
        <v>2508</v>
      </c>
      <c r="B1062" t="s">
        <v>134</v>
      </c>
      <c r="C1062">
        <v>2010</v>
      </c>
      <c r="D1062" t="s">
        <v>83</v>
      </c>
      <c r="E1062" t="s">
        <v>78</v>
      </c>
      <c r="F1062" t="s">
        <v>156</v>
      </c>
      <c r="G1062">
        <v>740</v>
      </c>
      <c r="H1062" t="s">
        <v>38</v>
      </c>
      <c r="I1062" t="s">
        <v>86</v>
      </c>
      <c r="J1062" t="s">
        <v>146</v>
      </c>
      <c r="K1062" s="4">
        <v>5.71</v>
      </c>
      <c r="L1062" t="s">
        <v>2509</v>
      </c>
      <c r="M1062" s="1">
        <v>46698</v>
      </c>
      <c r="N1062" t="s">
        <v>24</v>
      </c>
      <c r="O1062" t="s">
        <v>25</v>
      </c>
    </row>
    <row r="1063" spans="1:15" x14ac:dyDescent="0.25">
      <c r="A1063" t="s">
        <v>2510</v>
      </c>
      <c r="B1063" t="s">
        <v>138</v>
      </c>
      <c r="C1063">
        <v>2008</v>
      </c>
      <c r="D1063" t="s">
        <v>36</v>
      </c>
      <c r="E1063" t="s">
        <v>72</v>
      </c>
      <c r="F1063" t="s">
        <v>1103</v>
      </c>
      <c r="G1063">
        <v>360</v>
      </c>
      <c r="H1063" t="s">
        <v>62</v>
      </c>
      <c r="I1063" t="s">
        <v>73</v>
      </c>
      <c r="J1063" t="s">
        <v>125</v>
      </c>
      <c r="K1063" s="4">
        <v>95.93</v>
      </c>
      <c r="L1063" t="s">
        <v>2511</v>
      </c>
      <c r="M1063" s="1">
        <v>46690</v>
      </c>
      <c r="N1063" t="s">
        <v>75</v>
      </c>
      <c r="O1063" t="s">
        <v>25</v>
      </c>
    </row>
    <row r="1064" spans="1:15" x14ac:dyDescent="0.25">
      <c r="A1064" t="s">
        <v>2512</v>
      </c>
      <c r="B1064" t="s">
        <v>59</v>
      </c>
      <c r="C1064">
        <v>2023</v>
      </c>
      <c r="D1064" t="s">
        <v>17</v>
      </c>
      <c r="E1064" t="s">
        <v>45</v>
      </c>
      <c r="F1064" t="s">
        <v>2513</v>
      </c>
      <c r="G1064">
        <v>580</v>
      </c>
      <c r="H1064" t="s">
        <v>62</v>
      </c>
      <c r="I1064" t="s">
        <v>73</v>
      </c>
      <c r="J1064" t="s">
        <v>49</v>
      </c>
      <c r="K1064" s="4">
        <v>454.59</v>
      </c>
      <c r="L1064" t="s">
        <v>2514</v>
      </c>
      <c r="M1064" s="1">
        <v>46524</v>
      </c>
      <c r="N1064" t="s">
        <v>41</v>
      </c>
      <c r="O1064" t="s">
        <v>33</v>
      </c>
    </row>
    <row r="1065" spans="1:15" x14ac:dyDescent="0.25">
      <c r="A1065" t="s">
        <v>2515</v>
      </c>
      <c r="B1065" t="s">
        <v>134</v>
      </c>
      <c r="C1065">
        <v>2005</v>
      </c>
      <c r="D1065" t="s">
        <v>83</v>
      </c>
      <c r="E1065" t="s">
        <v>60</v>
      </c>
      <c r="F1065" t="s">
        <v>603</v>
      </c>
      <c r="G1065">
        <v>340</v>
      </c>
      <c r="H1065" t="s">
        <v>29</v>
      </c>
      <c r="I1065" t="s">
        <v>73</v>
      </c>
      <c r="J1065" t="s">
        <v>146</v>
      </c>
      <c r="K1065" s="4">
        <v>181.55</v>
      </c>
      <c r="L1065" t="s">
        <v>2516</v>
      </c>
      <c r="M1065" s="1">
        <v>46953</v>
      </c>
      <c r="N1065" t="s">
        <v>75</v>
      </c>
      <c r="O1065" t="s">
        <v>51</v>
      </c>
    </row>
    <row r="1066" spans="1:15" x14ac:dyDescent="0.25">
      <c r="A1066" t="s">
        <v>2517</v>
      </c>
      <c r="B1066" t="s">
        <v>59</v>
      </c>
      <c r="C1066">
        <v>1991</v>
      </c>
      <c r="D1066" t="s">
        <v>108</v>
      </c>
      <c r="E1066" t="s">
        <v>119</v>
      </c>
      <c r="F1066" t="s">
        <v>490</v>
      </c>
      <c r="G1066">
        <v>420</v>
      </c>
      <c r="H1066" t="s">
        <v>47</v>
      </c>
      <c r="I1066" t="s">
        <v>151</v>
      </c>
      <c r="J1066" t="s">
        <v>121</v>
      </c>
      <c r="K1066" s="4">
        <v>5.68</v>
      </c>
      <c r="L1066" t="s">
        <v>2518</v>
      </c>
      <c r="M1066" s="1">
        <v>46401</v>
      </c>
      <c r="N1066" t="s">
        <v>75</v>
      </c>
      <c r="O1066" t="s">
        <v>33</v>
      </c>
    </row>
    <row r="1067" spans="1:15" x14ac:dyDescent="0.25">
      <c r="A1067" t="s">
        <v>2519</v>
      </c>
      <c r="B1067" t="s">
        <v>70</v>
      </c>
      <c r="C1067">
        <v>2006</v>
      </c>
      <c r="D1067" t="s">
        <v>83</v>
      </c>
      <c r="E1067" t="s">
        <v>99</v>
      </c>
      <c r="F1067" t="s">
        <v>162</v>
      </c>
      <c r="G1067">
        <v>830</v>
      </c>
      <c r="H1067" t="s">
        <v>20</v>
      </c>
      <c r="I1067" t="s">
        <v>30</v>
      </c>
      <c r="J1067" t="s">
        <v>49</v>
      </c>
      <c r="K1067" s="4">
        <v>228.43</v>
      </c>
      <c r="L1067" t="s">
        <v>2520</v>
      </c>
      <c r="M1067" s="1">
        <v>46814</v>
      </c>
      <c r="N1067" t="s">
        <v>41</v>
      </c>
      <c r="O1067" t="s">
        <v>33</v>
      </c>
    </row>
    <row r="1068" spans="1:15" x14ac:dyDescent="0.25">
      <c r="A1068" t="s">
        <v>2521</v>
      </c>
      <c r="B1068" t="s">
        <v>70</v>
      </c>
      <c r="C1068">
        <v>2013</v>
      </c>
      <c r="D1068" t="s">
        <v>71</v>
      </c>
      <c r="E1068" t="s">
        <v>60</v>
      </c>
      <c r="F1068" t="s">
        <v>1876</v>
      </c>
      <c r="G1068">
        <v>10</v>
      </c>
      <c r="H1068" t="s">
        <v>20</v>
      </c>
      <c r="I1068" t="s">
        <v>80</v>
      </c>
      <c r="J1068" t="s">
        <v>31</v>
      </c>
      <c r="K1068" s="4">
        <v>318.89999999999998</v>
      </c>
      <c r="L1068" t="s">
        <v>2522</v>
      </c>
      <c r="M1068" s="1">
        <v>46069</v>
      </c>
      <c r="N1068" t="s">
        <v>41</v>
      </c>
      <c r="O1068" t="s">
        <v>25</v>
      </c>
    </row>
    <row r="1069" spans="1:15" x14ac:dyDescent="0.25">
      <c r="A1069" t="s">
        <v>2523</v>
      </c>
      <c r="B1069" t="s">
        <v>16</v>
      </c>
      <c r="C1069">
        <v>1994</v>
      </c>
      <c r="D1069" t="s">
        <v>71</v>
      </c>
      <c r="E1069" t="s">
        <v>45</v>
      </c>
      <c r="F1069" t="s">
        <v>236</v>
      </c>
      <c r="G1069">
        <v>280</v>
      </c>
      <c r="H1069" t="s">
        <v>29</v>
      </c>
      <c r="I1069" t="s">
        <v>39</v>
      </c>
      <c r="J1069" t="s">
        <v>146</v>
      </c>
      <c r="K1069" s="4">
        <v>259.88</v>
      </c>
      <c r="L1069" t="s">
        <v>2524</v>
      </c>
      <c r="M1069" s="1">
        <v>46795</v>
      </c>
      <c r="N1069" t="s">
        <v>24</v>
      </c>
      <c r="O1069" t="s">
        <v>51</v>
      </c>
    </row>
    <row r="1070" spans="1:15" x14ac:dyDescent="0.25">
      <c r="A1070" t="s">
        <v>2525</v>
      </c>
      <c r="B1070" t="s">
        <v>138</v>
      </c>
      <c r="C1070">
        <v>2018</v>
      </c>
      <c r="D1070" t="s">
        <v>95</v>
      </c>
      <c r="E1070" t="s">
        <v>116</v>
      </c>
      <c r="F1070" t="s">
        <v>2526</v>
      </c>
      <c r="G1070">
        <v>240</v>
      </c>
      <c r="H1070" t="s">
        <v>85</v>
      </c>
      <c r="I1070" t="s">
        <v>151</v>
      </c>
      <c r="J1070" t="s">
        <v>101</v>
      </c>
      <c r="K1070" s="4">
        <v>8.85</v>
      </c>
      <c r="L1070" t="s">
        <v>2527</v>
      </c>
      <c r="M1070" s="1">
        <v>46190</v>
      </c>
      <c r="N1070" t="s">
        <v>41</v>
      </c>
      <c r="O1070" t="s">
        <v>25</v>
      </c>
    </row>
    <row r="1071" spans="1:15" x14ac:dyDescent="0.25">
      <c r="A1071" t="s">
        <v>2528</v>
      </c>
      <c r="B1071" t="s">
        <v>43</v>
      </c>
      <c r="C1071">
        <v>2015</v>
      </c>
      <c r="D1071" t="s">
        <v>44</v>
      </c>
      <c r="E1071" t="s">
        <v>18</v>
      </c>
      <c r="F1071" t="s">
        <v>1026</v>
      </c>
      <c r="G1071">
        <v>350</v>
      </c>
      <c r="H1071" t="s">
        <v>20</v>
      </c>
      <c r="I1071" t="s">
        <v>151</v>
      </c>
      <c r="J1071" t="s">
        <v>125</v>
      </c>
      <c r="K1071" s="4">
        <v>81.209999999999994</v>
      </c>
      <c r="L1071" t="s">
        <v>2529</v>
      </c>
      <c r="M1071" s="1">
        <v>46799</v>
      </c>
      <c r="N1071" t="s">
        <v>24</v>
      </c>
      <c r="O1071" t="s">
        <v>33</v>
      </c>
    </row>
    <row r="1072" spans="1:15" x14ac:dyDescent="0.25">
      <c r="A1072" t="s">
        <v>2530</v>
      </c>
      <c r="B1072" t="s">
        <v>77</v>
      </c>
      <c r="C1072">
        <v>1994</v>
      </c>
      <c r="D1072" t="s">
        <v>66</v>
      </c>
      <c r="E1072" t="s">
        <v>18</v>
      </c>
      <c r="F1072" t="s">
        <v>764</v>
      </c>
      <c r="G1072">
        <v>480</v>
      </c>
      <c r="H1072" t="s">
        <v>38</v>
      </c>
      <c r="I1072" t="s">
        <v>86</v>
      </c>
      <c r="J1072" t="s">
        <v>110</v>
      </c>
      <c r="K1072" s="4">
        <v>122.62</v>
      </c>
      <c r="L1072" t="s">
        <v>2531</v>
      </c>
      <c r="M1072" s="1">
        <v>46163</v>
      </c>
      <c r="N1072" t="s">
        <v>41</v>
      </c>
      <c r="O1072" t="s">
        <v>51</v>
      </c>
    </row>
    <row r="1073" spans="1:15" x14ac:dyDescent="0.25">
      <c r="A1073" t="s">
        <v>2532</v>
      </c>
      <c r="B1073" t="s">
        <v>35</v>
      </c>
      <c r="C1073">
        <v>2017</v>
      </c>
      <c r="D1073" t="s">
        <v>108</v>
      </c>
      <c r="E1073" t="s">
        <v>116</v>
      </c>
      <c r="F1073" t="s">
        <v>2533</v>
      </c>
      <c r="G1073">
        <v>600</v>
      </c>
      <c r="H1073" t="s">
        <v>20</v>
      </c>
      <c r="I1073" t="s">
        <v>73</v>
      </c>
      <c r="J1073" t="s">
        <v>22</v>
      </c>
      <c r="K1073" s="4">
        <v>283.02</v>
      </c>
      <c r="L1073" t="s">
        <v>2534</v>
      </c>
      <c r="M1073" s="1">
        <v>46426</v>
      </c>
      <c r="N1073" t="s">
        <v>24</v>
      </c>
      <c r="O1073" t="s">
        <v>51</v>
      </c>
    </row>
    <row r="1074" spans="1:15" x14ac:dyDescent="0.25">
      <c r="A1074" t="s">
        <v>2535</v>
      </c>
      <c r="B1074" t="s">
        <v>53</v>
      </c>
      <c r="C1074">
        <v>1994</v>
      </c>
      <c r="D1074" t="s">
        <v>108</v>
      </c>
      <c r="E1074" t="s">
        <v>104</v>
      </c>
      <c r="F1074" t="s">
        <v>135</v>
      </c>
      <c r="G1074">
        <v>720</v>
      </c>
      <c r="H1074" t="s">
        <v>62</v>
      </c>
      <c r="I1074" t="s">
        <v>186</v>
      </c>
      <c r="J1074" t="s">
        <v>125</v>
      </c>
      <c r="K1074" s="4">
        <v>455.04</v>
      </c>
      <c r="L1074" t="s">
        <v>2536</v>
      </c>
      <c r="M1074" s="1">
        <v>46000</v>
      </c>
      <c r="N1074" t="s">
        <v>75</v>
      </c>
      <c r="O1074" t="s">
        <v>33</v>
      </c>
    </row>
    <row r="1075" spans="1:15" x14ac:dyDescent="0.25">
      <c r="A1075" t="s">
        <v>2537</v>
      </c>
      <c r="B1075" t="s">
        <v>98</v>
      </c>
      <c r="C1075">
        <v>2015</v>
      </c>
      <c r="D1075" t="s">
        <v>66</v>
      </c>
      <c r="E1075" t="s">
        <v>116</v>
      </c>
      <c r="F1075" t="s">
        <v>1784</v>
      </c>
      <c r="G1075">
        <v>250</v>
      </c>
      <c r="H1075" t="s">
        <v>20</v>
      </c>
      <c r="I1075" t="s">
        <v>39</v>
      </c>
      <c r="J1075" t="s">
        <v>63</v>
      </c>
      <c r="K1075" s="4">
        <v>101.11</v>
      </c>
      <c r="L1075" t="s">
        <v>2538</v>
      </c>
      <c r="M1075" s="1">
        <v>46860</v>
      </c>
      <c r="N1075" t="s">
        <v>24</v>
      </c>
      <c r="O1075" t="s">
        <v>33</v>
      </c>
    </row>
    <row r="1076" spans="1:15" x14ac:dyDescent="0.25">
      <c r="A1076" t="s">
        <v>2539</v>
      </c>
      <c r="B1076" t="s">
        <v>35</v>
      </c>
      <c r="C1076">
        <v>2008</v>
      </c>
      <c r="D1076" t="s">
        <v>71</v>
      </c>
      <c r="E1076" t="s">
        <v>78</v>
      </c>
      <c r="F1076" t="s">
        <v>885</v>
      </c>
      <c r="G1076">
        <v>790</v>
      </c>
      <c r="H1076" t="s">
        <v>56</v>
      </c>
      <c r="I1076" t="s">
        <v>91</v>
      </c>
      <c r="J1076" t="s">
        <v>146</v>
      </c>
      <c r="K1076" s="4">
        <v>31.52</v>
      </c>
      <c r="L1076" t="s">
        <v>2540</v>
      </c>
      <c r="M1076" s="1">
        <v>46563</v>
      </c>
      <c r="N1076" t="s">
        <v>41</v>
      </c>
      <c r="O1076" t="s">
        <v>25</v>
      </c>
    </row>
    <row r="1077" spans="1:15" x14ac:dyDescent="0.25">
      <c r="A1077" t="s">
        <v>2541</v>
      </c>
      <c r="B1077" t="s">
        <v>98</v>
      </c>
      <c r="C1077">
        <v>1998</v>
      </c>
      <c r="D1077" t="s">
        <v>17</v>
      </c>
      <c r="E1077" t="s">
        <v>116</v>
      </c>
      <c r="F1077" t="s">
        <v>189</v>
      </c>
      <c r="G1077">
        <v>60</v>
      </c>
      <c r="H1077" t="s">
        <v>56</v>
      </c>
      <c r="I1077" t="s">
        <v>151</v>
      </c>
      <c r="J1077" t="s">
        <v>22</v>
      </c>
      <c r="K1077" s="4">
        <v>153.59</v>
      </c>
      <c r="L1077" t="s">
        <v>2542</v>
      </c>
      <c r="M1077" s="1">
        <v>46259</v>
      </c>
      <c r="N1077" t="s">
        <v>24</v>
      </c>
      <c r="O1077" t="s">
        <v>25</v>
      </c>
    </row>
    <row r="1078" spans="1:15" x14ac:dyDescent="0.25">
      <c r="A1078" t="s">
        <v>2543</v>
      </c>
      <c r="B1078" t="s">
        <v>53</v>
      </c>
      <c r="C1078">
        <v>1996</v>
      </c>
      <c r="D1078" t="s">
        <v>89</v>
      </c>
      <c r="E1078" t="s">
        <v>45</v>
      </c>
      <c r="F1078" t="s">
        <v>180</v>
      </c>
      <c r="G1078">
        <v>10</v>
      </c>
      <c r="H1078" t="s">
        <v>20</v>
      </c>
      <c r="I1078" t="s">
        <v>86</v>
      </c>
      <c r="J1078" t="s">
        <v>22</v>
      </c>
      <c r="K1078" s="4">
        <v>19.12</v>
      </c>
      <c r="L1078" t="s">
        <v>2544</v>
      </c>
      <c r="M1078" s="1">
        <v>46481</v>
      </c>
      <c r="N1078" t="s">
        <v>75</v>
      </c>
      <c r="O1078" t="s">
        <v>51</v>
      </c>
    </row>
    <row r="1079" spans="1:15" x14ac:dyDescent="0.25">
      <c r="A1079" t="s">
        <v>2545</v>
      </c>
      <c r="B1079" t="s">
        <v>53</v>
      </c>
      <c r="C1079">
        <v>1994</v>
      </c>
      <c r="D1079" t="s">
        <v>27</v>
      </c>
      <c r="E1079" t="s">
        <v>119</v>
      </c>
      <c r="F1079" t="s">
        <v>250</v>
      </c>
      <c r="G1079">
        <v>130</v>
      </c>
      <c r="H1079" t="s">
        <v>29</v>
      </c>
      <c r="I1079" t="s">
        <v>91</v>
      </c>
      <c r="J1079" t="s">
        <v>92</v>
      </c>
      <c r="K1079" s="4">
        <v>19.22</v>
      </c>
      <c r="L1079" t="s">
        <v>2546</v>
      </c>
      <c r="M1079" s="1">
        <v>46362</v>
      </c>
      <c r="N1079" t="s">
        <v>75</v>
      </c>
      <c r="O1079" t="s">
        <v>25</v>
      </c>
    </row>
    <row r="1080" spans="1:15" x14ac:dyDescent="0.25">
      <c r="A1080" t="s">
        <v>2547</v>
      </c>
      <c r="B1080" t="s">
        <v>35</v>
      </c>
      <c r="C1080">
        <v>2020</v>
      </c>
      <c r="D1080" t="s">
        <v>95</v>
      </c>
      <c r="E1080" t="s">
        <v>72</v>
      </c>
      <c r="F1080" t="s">
        <v>415</v>
      </c>
      <c r="G1080">
        <v>740</v>
      </c>
      <c r="H1080" t="s">
        <v>56</v>
      </c>
      <c r="I1080" t="s">
        <v>48</v>
      </c>
      <c r="J1080" t="s">
        <v>63</v>
      </c>
      <c r="K1080" s="4">
        <v>459.02</v>
      </c>
      <c r="L1080" t="s">
        <v>2548</v>
      </c>
      <c r="M1080" s="1">
        <v>46655</v>
      </c>
      <c r="N1080" t="s">
        <v>24</v>
      </c>
      <c r="O1080" t="s">
        <v>33</v>
      </c>
    </row>
    <row r="1081" spans="1:15" x14ac:dyDescent="0.25">
      <c r="A1081" t="s">
        <v>2549</v>
      </c>
      <c r="B1081" t="s">
        <v>59</v>
      </c>
      <c r="C1081">
        <v>2018</v>
      </c>
      <c r="D1081" t="s">
        <v>95</v>
      </c>
      <c r="E1081" t="s">
        <v>119</v>
      </c>
      <c r="F1081" t="s">
        <v>2550</v>
      </c>
      <c r="G1081">
        <v>320</v>
      </c>
      <c r="H1081" t="s">
        <v>20</v>
      </c>
      <c r="I1081" t="s">
        <v>21</v>
      </c>
      <c r="J1081" t="s">
        <v>63</v>
      </c>
      <c r="K1081" s="4">
        <v>45.35</v>
      </c>
      <c r="L1081" t="s">
        <v>2551</v>
      </c>
      <c r="M1081" s="1">
        <v>45913</v>
      </c>
      <c r="N1081" t="s">
        <v>75</v>
      </c>
      <c r="O1081" t="s">
        <v>51</v>
      </c>
    </row>
    <row r="1082" spans="1:15" x14ac:dyDescent="0.25">
      <c r="A1082" t="s">
        <v>2552</v>
      </c>
      <c r="B1082" t="s">
        <v>98</v>
      </c>
      <c r="C1082">
        <v>1990</v>
      </c>
      <c r="D1082" t="s">
        <v>66</v>
      </c>
      <c r="E1082" t="s">
        <v>72</v>
      </c>
      <c r="F1082" t="s">
        <v>2553</v>
      </c>
      <c r="G1082">
        <v>660</v>
      </c>
      <c r="H1082" t="s">
        <v>20</v>
      </c>
      <c r="I1082" t="s">
        <v>86</v>
      </c>
      <c r="J1082" t="s">
        <v>146</v>
      </c>
      <c r="K1082" s="4">
        <v>262.16000000000003</v>
      </c>
      <c r="L1082" t="s">
        <v>2554</v>
      </c>
      <c r="M1082" s="1">
        <v>46751</v>
      </c>
      <c r="N1082" t="s">
        <v>24</v>
      </c>
      <c r="O1082" t="s">
        <v>25</v>
      </c>
    </row>
    <row r="1083" spans="1:15" x14ac:dyDescent="0.25">
      <c r="A1083" t="s">
        <v>592</v>
      </c>
      <c r="B1083" t="s">
        <v>70</v>
      </c>
      <c r="C1083">
        <v>2023</v>
      </c>
      <c r="D1083" t="s">
        <v>36</v>
      </c>
      <c r="E1083" t="s">
        <v>60</v>
      </c>
      <c r="F1083" t="s">
        <v>851</v>
      </c>
      <c r="G1083">
        <v>510</v>
      </c>
      <c r="H1083" t="s">
        <v>20</v>
      </c>
      <c r="I1083" t="s">
        <v>30</v>
      </c>
      <c r="J1083" t="s">
        <v>101</v>
      </c>
      <c r="K1083" s="4">
        <v>399.02</v>
      </c>
      <c r="L1083" t="s">
        <v>2555</v>
      </c>
      <c r="M1083" s="1">
        <v>46143</v>
      </c>
      <c r="N1083" t="s">
        <v>41</v>
      </c>
      <c r="O1083" t="s">
        <v>51</v>
      </c>
    </row>
    <row r="1084" spans="1:15" x14ac:dyDescent="0.25">
      <c r="A1084" t="s">
        <v>2556</v>
      </c>
      <c r="B1084" t="s">
        <v>138</v>
      </c>
      <c r="C1084">
        <v>2008</v>
      </c>
      <c r="D1084" t="s">
        <v>27</v>
      </c>
      <c r="E1084" t="s">
        <v>72</v>
      </c>
      <c r="F1084" t="s">
        <v>2557</v>
      </c>
      <c r="G1084">
        <v>720</v>
      </c>
      <c r="H1084" t="s">
        <v>85</v>
      </c>
      <c r="I1084" t="s">
        <v>151</v>
      </c>
      <c r="J1084" t="s">
        <v>22</v>
      </c>
      <c r="K1084" s="4">
        <v>448.63</v>
      </c>
      <c r="L1084" t="s">
        <v>2558</v>
      </c>
      <c r="M1084" s="1">
        <v>46682</v>
      </c>
      <c r="N1084" t="s">
        <v>41</v>
      </c>
      <c r="O1084" t="s">
        <v>51</v>
      </c>
    </row>
    <row r="1085" spans="1:15" x14ac:dyDescent="0.25">
      <c r="A1085" t="s">
        <v>2559</v>
      </c>
      <c r="B1085" t="s">
        <v>134</v>
      </c>
      <c r="C1085">
        <v>2012</v>
      </c>
      <c r="D1085" t="s">
        <v>95</v>
      </c>
      <c r="E1085" t="s">
        <v>104</v>
      </c>
      <c r="F1085" t="s">
        <v>139</v>
      </c>
      <c r="G1085">
        <v>420</v>
      </c>
      <c r="H1085" t="s">
        <v>20</v>
      </c>
      <c r="I1085" t="s">
        <v>48</v>
      </c>
      <c r="J1085" t="s">
        <v>49</v>
      </c>
      <c r="K1085" s="4">
        <v>461.48</v>
      </c>
      <c r="L1085" t="s">
        <v>2560</v>
      </c>
      <c r="M1085" s="1">
        <v>45933</v>
      </c>
      <c r="N1085" t="s">
        <v>24</v>
      </c>
      <c r="O1085" t="s">
        <v>51</v>
      </c>
    </row>
    <row r="1086" spans="1:15" x14ac:dyDescent="0.25">
      <c r="A1086" t="s">
        <v>2561</v>
      </c>
      <c r="B1086" t="s">
        <v>35</v>
      </c>
      <c r="C1086">
        <v>2011</v>
      </c>
      <c r="D1086" t="s">
        <v>66</v>
      </c>
      <c r="E1086" t="s">
        <v>104</v>
      </c>
      <c r="F1086" t="s">
        <v>145</v>
      </c>
      <c r="G1086">
        <v>940</v>
      </c>
      <c r="H1086" t="s">
        <v>85</v>
      </c>
      <c r="I1086" t="s">
        <v>86</v>
      </c>
      <c r="J1086" t="s">
        <v>146</v>
      </c>
      <c r="K1086" s="4">
        <v>13.9</v>
      </c>
      <c r="L1086" t="s">
        <v>2562</v>
      </c>
      <c r="M1086" s="1">
        <v>46791</v>
      </c>
      <c r="N1086" t="s">
        <v>24</v>
      </c>
      <c r="O1086" t="s">
        <v>51</v>
      </c>
    </row>
    <row r="1087" spans="1:15" x14ac:dyDescent="0.25">
      <c r="A1087" t="s">
        <v>2563</v>
      </c>
      <c r="B1087" t="s">
        <v>134</v>
      </c>
      <c r="C1087">
        <v>2003</v>
      </c>
      <c r="D1087" t="s">
        <v>27</v>
      </c>
      <c r="E1087" t="s">
        <v>78</v>
      </c>
      <c r="F1087" t="s">
        <v>46</v>
      </c>
      <c r="G1087">
        <v>40</v>
      </c>
      <c r="H1087" t="s">
        <v>85</v>
      </c>
      <c r="I1087" t="s">
        <v>151</v>
      </c>
      <c r="J1087" t="s">
        <v>121</v>
      </c>
      <c r="K1087" s="4">
        <v>112.94</v>
      </c>
      <c r="L1087" t="s">
        <v>2564</v>
      </c>
      <c r="M1087" s="1">
        <v>46935</v>
      </c>
      <c r="N1087" t="s">
        <v>75</v>
      </c>
      <c r="O1087" t="s">
        <v>51</v>
      </c>
    </row>
    <row r="1088" spans="1:15" x14ac:dyDescent="0.25">
      <c r="A1088" t="s">
        <v>2565</v>
      </c>
      <c r="B1088" t="s">
        <v>16</v>
      </c>
      <c r="C1088">
        <v>2016</v>
      </c>
      <c r="D1088" t="s">
        <v>36</v>
      </c>
      <c r="E1088" t="s">
        <v>104</v>
      </c>
      <c r="F1088" t="s">
        <v>2566</v>
      </c>
      <c r="G1088">
        <v>560</v>
      </c>
      <c r="H1088" t="s">
        <v>85</v>
      </c>
      <c r="I1088" t="s">
        <v>151</v>
      </c>
      <c r="J1088" t="s">
        <v>125</v>
      </c>
      <c r="K1088" s="4">
        <v>446.22</v>
      </c>
      <c r="L1088" t="s">
        <v>2567</v>
      </c>
      <c r="M1088" s="1">
        <v>46147</v>
      </c>
      <c r="N1088" t="s">
        <v>41</v>
      </c>
      <c r="O1088" t="s">
        <v>33</v>
      </c>
    </row>
    <row r="1089" spans="1:15" x14ac:dyDescent="0.25">
      <c r="A1089" t="s">
        <v>2568</v>
      </c>
      <c r="B1089" t="s">
        <v>134</v>
      </c>
      <c r="C1089">
        <v>1999</v>
      </c>
      <c r="D1089" t="s">
        <v>44</v>
      </c>
      <c r="E1089" t="s">
        <v>45</v>
      </c>
      <c r="F1089" t="s">
        <v>79</v>
      </c>
      <c r="G1089">
        <v>680</v>
      </c>
      <c r="H1089" t="s">
        <v>62</v>
      </c>
      <c r="I1089" t="s">
        <v>39</v>
      </c>
      <c r="J1089" t="s">
        <v>92</v>
      </c>
      <c r="K1089" s="4">
        <v>99.84</v>
      </c>
      <c r="L1089" t="s">
        <v>2569</v>
      </c>
      <c r="M1089" s="1">
        <v>46479</v>
      </c>
      <c r="N1089" t="s">
        <v>24</v>
      </c>
      <c r="O1089" t="s">
        <v>33</v>
      </c>
    </row>
    <row r="1090" spans="1:15" x14ac:dyDescent="0.25">
      <c r="A1090" t="s">
        <v>2570</v>
      </c>
      <c r="B1090" t="s">
        <v>35</v>
      </c>
      <c r="C1090">
        <v>2000</v>
      </c>
      <c r="D1090" t="s">
        <v>36</v>
      </c>
      <c r="E1090" t="s">
        <v>78</v>
      </c>
      <c r="F1090" t="s">
        <v>247</v>
      </c>
      <c r="G1090">
        <v>320</v>
      </c>
      <c r="H1090" t="s">
        <v>56</v>
      </c>
      <c r="I1090" t="s">
        <v>80</v>
      </c>
      <c r="J1090" t="s">
        <v>121</v>
      </c>
      <c r="K1090" s="4">
        <v>78.75</v>
      </c>
      <c r="L1090" t="s">
        <v>2571</v>
      </c>
      <c r="M1090" s="1">
        <v>46742</v>
      </c>
      <c r="N1090" t="s">
        <v>75</v>
      </c>
      <c r="O1090" t="s">
        <v>25</v>
      </c>
    </row>
    <row r="1091" spans="1:15" x14ac:dyDescent="0.25">
      <c r="A1091" t="s">
        <v>2572</v>
      </c>
      <c r="B1091" t="s">
        <v>16</v>
      </c>
      <c r="C1091">
        <v>1996</v>
      </c>
      <c r="D1091" t="s">
        <v>89</v>
      </c>
      <c r="E1091" t="s">
        <v>119</v>
      </c>
      <c r="F1091" t="s">
        <v>2174</v>
      </c>
      <c r="G1091">
        <v>100</v>
      </c>
      <c r="H1091" t="s">
        <v>85</v>
      </c>
      <c r="I1091" t="s">
        <v>86</v>
      </c>
      <c r="J1091" t="s">
        <v>49</v>
      </c>
      <c r="K1091" s="4">
        <v>295.10000000000002</v>
      </c>
      <c r="L1091" t="s">
        <v>2573</v>
      </c>
      <c r="M1091" s="1">
        <v>46204</v>
      </c>
      <c r="N1091" t="s">
        <v>75</v>
      </c>
      <c r="O1091" t="s">
        <v>33</v>
      </c>
    </row>
    <row r="1092" spans="1:15" x14ac:dyDescent="0.25">
      <c r="A1092" t="s">
        <v>2574</v>
      </c>
      <c r="B1092" t="s">
        <v>77</v>
      </c>
      <c r="C1092">
        <v>2004</v>
      </c>
      <c r="D1092" t="s">
        <v>95</v>
      </c>
      <c r="E1092" t="s">
        <v>72</v>
      </c>
      <c r="F1092" t="s">
        <v>825</v>
      </c>
      <c r="G1092">
        <v>140</v>
      </c>
      <c r="H1092" t="s">
        <v>38</v>
      </c>
      <c r="I1092" t="s">
        <v>73</v>
      </c>
      <c r="J1092" t="s">
        <v>125</v>
      </c>
      <c r="K1092" s="4">
        <v>64.319999999999993</v>
      </c>
      <c r="L1092" t="s">
        <v>2575</v>
      </c>
      <c r="M1092" s="1">
        <v>46700</v>
      </c>
      <c r="N1092" t="s">
        <v>41</v>
      </c>
      <c r="O1092" t="s">
        <v>33</v>
      </c>
    </row>
    <row r="1093" spans="1:15" x14ac:dyDescent="0.25">
      <c r="A1093" t="s">
        <v>2576</v>
      </c>
      <c r="B1093" t="s">
        <v>77</v>
      </c>
      <c r="C1093">
        <v>2015</v>
      </c>
      <c r="D1093" t="s">
        <v>108</v>
      </c>
      <c r="E1093" t="s">
        <v>54</v>
      </c>
      <c r="F1093" t="s">
        <v>180</v>
      </c>
      <c r="G1093">
        <v>230</v>
      </c>
      <c r="H1093" t="s">
        <v>62</v>
      </c>
      <c r="I1093" t="s">
        <v>186</v>
      </c>
      <c r="J1093" t="s">
        <v>146</v>
      </c>
      <c r="K1093" s="4">
        <v>275.08</v>
      </c>
      <c r="L1093" t="s">
        <v>2577</v>
      </c>
      <c r="M1093" s="1">
        <v>46396</v>
      </c>
      <c r="N1093" t="s">
        <v>41</v>
      </c>
      <c r="O1093" t="s">
        <v>25</v>
      </c>
    </row>
    <row r="1094" spans="1:15" x14ac:dyDescent="0.25">
      <c r="A1094" t="s">
        <v>1411</v>
      </c>
      <c r="B1094" t="s">
        <v>138</v>
      </c>
      <c r="C1094">
        <v>2006</v>
      </c>
      <c r="D1094" t="s">
        <v>66</v>
      </c>
      <c r="E1094" t="s">
        <v>18</v>
      </c>
      <c r="F1094" t="s">
        <v>124</v>
      </c>
      <c r="G1094">
        <v>780</v>
      </c>
      <c r="H1094" t="s">
        <v>62</v>
      </c>
      <c r="I1094" t="s">
        <v>151</v>
      </c>
      <c r="J1094" t="s">
        <v>146</v>
      </c>
      <c r="K1094" s="4">
        <v>333.15</v>
      </c>
      <c r="L1094" t="s">
        <v>2578</v>
      </c>
      <c r="M1094" s="1">
        <v>46585</v>
      </c>
      <c r="N1094" t="s">
        <v>24</v>
      </c>
      <c r="O1094" t="s">
        <v>33</v>
      </c>
    </row>
    <row r="1095" spans="1:15" x14ac:dyDescent="0.25">
      <c r="A1095" t="s">
        <v>2579</v>
      </c>
      <c r="B1095" t="s">
        <v>59</v>
      </c>
      <c r="C1095">
        <v>2004</v>
      </c>
      <c r="D1095" t="s">
        <v>66</v>
      </c>
      <c r="E1095" t="s">
        <v>60</v>
      </c>
      <c r="F1095" t="s">
        <v>79</v>
      </c>
      <c r="G1095">
        <v>660</v>
      </c>
      <c r="H1095" t="s">
        <v>29</v>
      </c>
      <c r="I1095" t="s">
        <v>80</v>
      </c>
      <c r="J1095" t="s">
        <v>101</v>
      </c>
      <c r="K1095" s="4">
        <v>485.85</v>
      </c>
      <c r="L1095" t="s">
        <v>2580</v>
      </c>
      <c r="M1095" s="1">
        <v>46687</v>
      </c>
      <c r="N1095" t="s">
        <v>41</v>
      </c>
      <c r="O1095" t="s">
        <v>33</v>
      </c>
    </row>
    <row r="1096" spans="1:15" x14ac:dyDescent="0.25">
      <c r="A1096" t="s">
        <v>2581</v>
      </c>
      <c r="B1096" t="s">
        <v>16</v>
      </c>
      <c r="C1096">
        <v>2008</v>
      </c>
      <c r="D1096" t="s">
        <v>44</v>
      </c>
      <c r="E1096" t="s">
        <v>116</v>
      </c>
      <c r="F1096" t="s">
        <v>323</v>
      </c>
      <c r="G1096">
        <v>880</v>
      </c>
      <c r="H1096" t="s">
        <v>62</v>
      </c>
      <c r="I1096" t="s">
        <v>39</v>
      </c>
      <c r="J1096" t="s">
        <v>125</v>
      </c>
      <c r="K1096" s="4">
        <v>300.74</v>
      </c>
      <c r="L1096" t="s">
        <v>2582</v>
      </c>
      <c r="M1096" s="1">
        <v>46661</v>
      </c>
      <c r="N1096" t="s">
        <v>75</v>
      </c>
      <c r="O1096" t="s">
        <v>25</v>
      </c>
    </row>
    <row r="1097" spans="1:15" x14ac:dyDescent="0.25">
      <c r="A1097" t="s">
        <v>2583</v>
      </c>
      <c r="B1097" t="s">
        <v>16</v>
      </c>
      <c r="C1097">
        <v>1992</v>
      </c>
      <c r="D1097" t="s">
        <v>36</v>
      </c>
      <c r="E1097" t="s">
        <v>60</v>
      </c>
      <c r="F1097" t="s">
        <v>2584</v>
      </c>
      <c r="G1097">
        <v>220</v>
      </c>
      <c r="H1097" t="s">
        <v>29</v>
      </c>
      <c r="I1097" t="s">
        <v>80</v>
      </c>
      <c r="J1097" t="s">
        <v>125</v>
      </c>
      <c r="K1097" s="4">
        <v>430.68</v>
      </c>
      <c r="L1097" t="s">
        <v>2585</v>
      </c>
      <c r="M1097" s="1">
        <v>46093</v>
      </c>
      <c r="N1097" t="s">
        <v>75</v>
      </c>
      <c r="O1097" t="s">
        <v>25</v>
      </c>
    </row>
    <row r="1098" spans="1:15" x14ac:dyDescent="0.25">
      <c r="A1098" t="s">
        <v>2586</v>
      </c>
      <c r="B1098" t="s">
        <v>134</v>
      </c>
      <c r="C1098">
        <v>2023</v>
      </c>
      <c r="D1098" t="s">
        <v>95</v>
      </c>
      <c r="E1098" t="s">
        <v>119</v>
      </c>
      <c r="F1098" t="s">
        <v>2587</v>
      </c>
      <c r="G1098">
        <v>630</v>
      </c>
      <c r="H1098" t="s">
        <v>85</v>
      </c>
      <c r="I1098" t="s">
        <v>39</v>
      </c>
      <c r="J1098" t="s">
        <v>146</v>
      </c>
      <c r="K1098" s="4">
        <v>70.34</v>
      </c>
      <c r="L1098" t="s">
        <v>2588</v>
      </c>
      <c r="M1098" s="1">
        <v>46391</v>
      </c>
      <c r="N1098" t="s">
        <v>75</v>
      </c>
      <c r="O1098" t="s">
        <v>51</v>
      </c>
    </row>
    <row r="1099" spans="1:15" x14ac:dyDescent="0.25">
      <c r="A1099" t="s">
        <v>2589</v>
      </c>
      <c r="B1099" t="s">
        <v>59</v>
      </c>
      <c r="C1099">
        <v>1990</v>
      </c>
      <c r="D1099" t="s">
        <v>17</v>
      </c>
      <c r="E1099" t="s">
        <v>54</v>
      </c>
      <c r="F1099" t="s">
        <v>1522</v>
      </c>
      <c r="G1099">
        <v>370</v>
      </c>
      <c r="H1099" t="s">
        <v>38</v>
      </c>
      <c r="I1099" t="s">
        <v>30</v>
      </c>
      <c r="J1099" t="s">
        <v>125</v>
      </c>
      <c r="K1099" s="4">
        <v>272.75</v>
      </c>
      <c r="L1099" t="s">
        <v>2590</v>
      </c>
      <c r="M1099" s="1">
        <v>46041</v>
      </c>
      <c r="N1099" t="s">
        <v>41</v>
      </c>
      <c r="O1099" t="s">
        <v>51</v>
      </c>
    </row>
    <row r="1100" spans="1:15" x14ac:dyDescent="0.25">
      <c r="A1100" t="s">
        <v>2591</v>
      </c>
      <c r="B1100" t="s">
        <v>53</v>
      </c>
      <c r="C1100">
        <v>1998</v>
      </c>
      <c r="D1100" t="s">
        <v>108</v>
      </c>
      <c r="E1100" t="s">
        <v>72</v>
      </c>
      <c r="F1100" t="s">
        <v>2592</v>
      </c>
      <c r="G1100">
        <v>740</v>
      </c>
      <c r="H1100" t="s">
        <v>56</v>
      </c>
      <c r="I1100" t="s">
        <v>151</v>
      </c>
      <c r="J1100" t="s">
        <v>125</v>
      </c>
      <c r="K1100" s="4">
        <v>438.21</v>
      </c>
      <c r="L1100" t="s">
        <v>2593</v>
      </c>
      <c r="M1100" s="1">
        <v>46941</v>
      </c>
      <c r="N1100" t="s">
        <v>75</v>
      </c>
      <c r="O1100" t="s">
        <v>25</v>
      </c>
    </row>
    <row r="1101" spans="1:15" x14ac:dyDescent="0.25">
      <c r="A1101" t="s">
        <v>2594</v>
      </c>
      <c r="B1101" t="s">
        <v>134</v>
      </c>
      <c r="C1101">
        <v>1997</v>
      </c>
      <c r="D1101" t="s">
        <v>108</v>
      </c>
      <c r="E1101" t="s">
        <v>104</v>
      </c>
      <c r="F1101" t="s">
        <v>1097</v>
      </c>
      <c r="G1101">
        <v>770</v>
      </c>
      <c r="H1101" t="s">
        <v>62</v>
      </c>
      <c r="I1101" t="s">
        <v>73</v>
      </c>
      <c r="J1101" t="s">
        <v>63</v>
      </c>
      <c r="K1101" s="4">
        <v>165</v>
      </c>
      <c r="L1101" t="s">
        <v>2595</v>
      </c>
      <c r="M1101" s="1">
        <v>46862</v>
      </c>
      <c r="N1101" t="s">
        <v>24</v>
      </c>
      <c r="O1101" t="s">
        <v>51</v>
      </c>
    </row>
    <row r="1102" spans="1:15" x14ac:dyDescent="0.25">
      <c r="A1102" t="s">
        <v>2596</v>
      </c>
      <c r="B1102" t="s">
        <v>98</v>
      </c>
      <c r="C1102">
        <v>1990</v>
      </c>
      <c r="D1102" t="s">
        <v>71</v>
      </c>
      <c r="E1102" t="s">
        <v>116</v>
      </c>
      <c r="F1102" t="s">
        <v>124</v>
      </c>
      <c r="G1102">
        <v>70</v>
      </c>
      <c r="H1102" t="s">
        <v>47</v>
      </c>
      <c r="I1102" t="s">
        <v>86</v>
      </c>
      <c r="J1102" t="s">
        <v>121</v>
      </c>
      <c r="K1102" s="4">
        <v>90.43</v>
      </c>
      <c r="L1102" t="s">
        <v>2597</v>
      </c>
      <c r="M1102" s="1">
        <v>45962</v>
      </c>
      <c r="N1102" t="s">
        <v>75</v>
      </c>
      <c r="O1102" t="s">
        <v>25</v>
      </c>
    </row>
    <row r="1103" spans="1:15" x14ac:dyDescent="0.25">
      <c r="A1103" t="s">
        <v>2598</v>
      </c>
      <c r="B1103" t="s">
        <v>138</v>
      </c>
      <c r="C1103">
        <v>2020</v>
      </c>
      <c r="D1103" t="s">
        <v>83</v>
      </c>
      <c r="E1103" t="s">
        <v>72</v>
      </c>
      <c r="F1103" t="s">
        <v>162</v>
      </c>
      <c r="G1103">
        <v>410</v>
      </c>
      <c r="H1103" t="s">
        <v>56</v>
      </c>
      <c r="I1103" t="s">
        <v>73</v>
      </c>
      <c r="J1103" t="s">
        <v>49</v>
      </c>
      <c r="K1103" s="4">
        <v>303.02</v>
      </c>
      <c r="L1103" t="s">
        <v>2599</v>
      </c>
      <c r="M1103" s="1">
        <v>46242</v>
      </c>
      <c r="N1103" t="s">
        <v>24</v>
      </c>
      <c r="O1103" t="s">
        <v>51</v>
      </c>
    </row>
    <row r="1104" spans="1:15" x14ac:dyDescent="0.25">
      <c r="A1104" t="s">
        <v>478</v>
      </c>
      <c r="B1104" t="s">
        <v>59</v>
      </c>
      <c r="C1104">
        <v>2001</v>
      </c>
      <c r="D1104" t="s">
        <v>108</v>
      </c>
      <c r="E1104" t="s">
        <v>45</v>
      </c>
      <c r="F1104" t="s">
        <v>893</v>
      </c>
      <c r="G1104">
        <v>880</v>
      </c>
      <c r="H1104" t="s">
        <v>56</v>
      </c>
      <c r="I1104" t="s">
        <v>39</v>
      </c>
      <c r="J1104" t="s">
        <v>31</v>
      </c>
      <c r="K1104" s="4">
        <v>331.08</v>
      </c>
      <c r="L1104" t="s">
        <v>2600</v>
      </c>
      <c r="M1104" s="1">
        <v>46735</v>
      </c>
      <c r="N1104" t="s">
        <v>24</v>
      </c>
      <c r="O1104" t="s">
        <v>25</v>
      </c>
    </row>
    <row r="1105" spans="1:15" x14ac:dyDescent="0.25">
      <c r="A1105" t="s">
        <v>2601</v>
      </c>
      <c r="B1105" t="s">
        <v>134</v>
      </c>
      <c r="C1105">
        <v>2006</v>
      </c>
      <c r="D1105" t="s">
        <v>95</v>
      </c>
      <c r="E1105" t="s">
        <v>99</v>
      </c>
      <c r="F1105" t="s">
        <v>208</v>
      </c>
      <c r="G1105">
        <v>940</v>
      </c>
      <c r="H1105" t="s">
        <v>29</v>
      </c>
      <c r="I1105" t="s">
        <v>30</v>
      </c>
      <c r="J1105" t="s">
        <v>121</v>
      </c>
      <c r="K1105" s="4">
        <v>86.46</v>
      </c>
      <c r="L1105" t="s">
        <v>2602</v>
      </c>
      <c r="M1105" s="1">
        <v>46616</v>
      </c>
      <c r="N1105" t="s">
        <v>41</v>
      </c>
      <c r="O1105" t="s">
        <v>33</v>
      </c>
    </row>
    <row r="1106" spans="1:15" x14ac:dyDescent="0.25">
      <c r="A1106" t="s">
        <v>2603</v>
      </c>
      <c r="B1106" t="s">
        <v>53</v>
      </c>
      <c r="C1106">
        <v>1994</v>
      </c>
      <c r="D1106" t="s">
        <v>36</v>
      </c>
      <c r="E1106" t="s">
        <v>18</v>
      </c>
      <c r="F1106" t="s">
        <v>128</v>
      </c>
      <c r="G1106">
        <v>360</v>
      </c>
      <c r="H1106" t="s">
        <v>29</v>
      </c>
      <c r="I1106" t="s">
        <v>39</v>
      </c>
      <c r="J1106" t="s">
        <v>49</v>
      </c>
      <c r="K1106" s="4">
        <v>452.17</v>
      </c>
      <c r="L1106" t="s">
        <v>2604</v>
      </c>
      <c r="M1106" s="1">
        <v>46420</v>
      </c>
      <c r="N1106" t="s">
        <v>75</v>
      </c>
      <c r="O1106" t="s">
        <v>51</v>
      </c>
    </row>
    <row r="1107" spans="1:15" x14ac:dyDescent="0.25">
      <c r="A1107" t="s">
        <v>2605</v>
      </c>
      <c r="B1107" t="s">
        <v>70</v>
      </c>
      <c r="C1107">
        <v>2013</v>
      </c>
      <c r="D1107" t="s">
        <v>89</v>
      </c>
      <c r="E1107" t="s">
        <v>99</v>
      </c>
      <c r="F1107" t="s">
        <v>893</v>
      </c>
      <c r="G1107">
        <v>230</v>
      </c>
      <c r="H1107" t="s">
        <v>29</v>
      </c>
      <c r="I1107" t="s">
        <v>86</v>
      </c>
      <c r="J1107" t="s">
        <v>63</v>
      </c>
      <c r="K1107" s="4">
        <v>336.36</v>
      </c>
      <c r="L1107" t="s">
        <v>2606</v>
      </c>
      <c r="M1107" s="1">
        <v>46548</v>
      </c>
      <c r="N1107" t="s">
        <v>24</v>
      </c>
      <c r="O1107" t="s">
        <v>25</v>
      </c>
    </row>
    <row r="1108" spans="1:15" x14ac:dyDescent="0.25">
      <c r="A1108" t="s">
        <v>2607</v>
      </c>
      <c r="B1108" t="s">
        <v>53</v>
      </c>
      <c r="C1108">
        <v>2009</v>
      </c>
      <c r="D1108" t="s">
        <v>89</v>
      </c>
      <c r="E1108" t="s">
        <v>99</v>
      </c>
      <c r="F1108" t="s">
        <v>715</v>
      </c>
      <c r="G1108">
        <v>820</v>
      </c>
      <c r="H1108" t="s">
        <v>85</v>
      </c>
      <c r="I1108" t="s">
        <v>186</v>
      </c>
      <c r="J1108" t="s">
        <v>101</v>
      </c>
      <c r="K1108" s="4">
        <v>150.32</v>
      </c>
      <c r="L1108" t="s">
        <v>2608</v>
      </c>
      <c r="M1108" s="1">
        <v>46546</v>
      </c>
      <c r="N1108" t="s">
        <v>41</v>
      </c>
      <c r="O1108" t="s">
        <v>33</v>
      </c>
    </row>
    <row r="1109" spans="1:15" x14ac:dyDescent="0.25">
      <c r="A1109" t="s">
        <v>2609</v>
      </c>
      <c r="B1109" t="s">
        <v>138</v>
      </c>
      <c r="C1109">
        <v>1991</v>
      </c>
      <c r="D1109" t="s">
        <v>17</v>
      </c>
      <c r="E1109" t="s">
        <v>54</v>
      </c>
      <c r="F1109" t="s">
        <v>79</v>
      </c>
      <c r="G1109">
        <v>540</v>
      </c>
      <c r="H1109" t="s">
        <v>29</v>
      </c>
      <c r="I1109" t="s">
        <v>91</v>
      </c>
      <c r="J1109" t="s">
        <v>101</v>
      </c>
      <c r="K1109" s="4">
        <v>466.43</v>
      </c>
      <c r="L1109" t="s">
        <v>2610</v>
      </c>
      <c r="M1109" s="1">
        <v>46688</v>
      </c>
      <c r="N1109" t="s">
        <v>75</v>
      </c>
      <c r="O1109" t="s">
        <v>25</v>
      </c>
    </row>
    <row r="1110" spans="1:15" x14ac:dyDescent="0.25">
      <c r="A1110" t="s">
        <v>1576</v>
      </c>
      <c r="B1110" t="s">
        <v>16</v>
      </c>
      <c r="C1110">
        <v>2000</v>
      </c>
      <c r="D1110" t="s">
        <v>71</v>
      </c>
      <c r="E1110" t="s">
        <v>104</v>
      </c>
      <c r="F1110" t="s">
        <v>67</v>
      </c>
      <c r="G1110">
        <v>310</v>
      </c>
      <c r="H1110" t="s">
        <v>20</v>
      </c>
      <c r="I1110" t="s">
        <v>21</v>
      </c>
      <c r="J1110" t="s">
        <v>49</v>
      </c>
      <c r="K1110" s="4">
        <v>174.35</v>
      </c>
      <c r="L1110" t="s">
        <v>2611</v>
      </c>
      <c r="M1110" s="1">
        <v>46664</v>
      </c>
      <c r="N1110" t="s">
        <v>41</v>
      </c>
      <c r="O1110" t="s">
        <v>25</v>
      </c>
    </row>
    <row r="1111" spans="1:15" x14ac:dyDescent="0.25">
      <c r="A1111" t="s">
        <v>2612</v>
      </c>
      <c r="B1111" t="s">
        <v>138</v>
      </c>
      <c r="C1111">
        <v>2015</v>
      </c>
      <c r="D1111" t="s">
        <v>66</v>
      </c>
      <c r="E1111" t="s">
        <v>54</v>
      </c>
      <c r="F1111" t="s">
        <v>2613</v>
      </c>
      <c r="G1111">
        <v>980</v>
      </c>
      <c r="H1111" t="s">
        <v>20</v>
      </c>
      <c r="I1111" t="s">
        <v>73</v>
      </c>
      <c r="J1111" t="s">
        <v>22</v>
      </c>
      <c r="K1111" s="4">
        <v>421.63</v>
      </c>
      <c r="L1111" t="s">
        <v>2614</v>
      </c>
      <c r="M1111" s="1">
        <v>46239</v>
      </c>
      <c r="N1111" t="s">
        <v>41</v>
      </c>
      <c r="O1111" t="s">
        <v>51</v>
      </c>
    </row>
    <row r="1112" spans="1:15" x14ac:dyDescent="0.25">
      <c r="A1112" t="s">
        <v>2615</v>
      </c>
      <c r="B1112" t="s">
        <v>98</v>
      </c>
      <c r="C1112">
        <v>2000</v>
      </c>
      <c r="D1112" t="s">
        <v>66</v>
      </c>
      <c r="E1112" t="s">
        <v>119</v>
      </c>
      <c r="F1112" t="s">
        <v>885</v>
      </c>
      <c r="G1112">
        <v>500</v>
      </c>
      <c r="H1112" t="s">
        <v>29</v>
      </c>
      <c r="I1112" t="s">
        <v>30</v>
      </c>
      <c r="J1112" t="s">
        <v>101</v>
      </c>
      <c r="K1112" s="4">
        <v>270.42</v>
      </c>
      <c r="L1112" t="s">
        <v>2616</v>
      </c>
      <c r="M1112" s="1">
        <v>46899</v>
      </c>
      <c r="N1112" t="s">
        <v>24</v>
      </c>
      <c r="O1112" t="s">
        <v>51</v>
      </c>
    </row>
    <row r="1113" spans="1:15" x14ac:dyDescent="0.25">
      <c r="A1113" t="s">
        <v>2617</v>
      </c>
      <c r="B1113" t="s">
        <v>59</v>
      </c>
      <c r="C1113">
        <v>2001</v>
      </c>
      <c r="D1113" t="s">
        <v>17</v>
      </c>
      <c r="E1113" t="s">
        <v>45</v>
      </c>
      <c r="F1113" t="s">
        <v>2618</v>
      </c>
      <c r="G1113">
        <v>360</v>
      </c>
      <c r="H1113" t="s">
        <v>47</v>
      </c>
      <c r="I1113" t="s">
        <v>86</v>
      </c>
      <c r="J1113" t="s">
        <v>121</v>
      </c>
      <c r="K1113" s="4">
        <v>281.85000000000002</v>
      </c>
      <c r="L1113" t="s">
        <v>2619</v>
      </c>
      <c r="M1113" s="1">
        <v>46373</v>
      </c>
      <c r="N1113" t="s">
        <v>75</v>
      </c>
      <c r="O1113" t="s">
        <v>51</v>
      </c>
    </row>
    <row r="1114" spans="1:15" x14ac:dyDescent="0.25">
      <c r="A1114" t="s">
        <v>1885</v>
      </c>
      <c r="B1114" t="s">
        <v>138</v>
      </c>
      <c r="C1114">
        <v>2015</v>
      </c>
      <c r="D1114" t="s">
        <v>27</v>
      </c>
      <c r="E1114" t="s">
        <v>60</v>
      </c>
      <c r="F1114" t="s">
        <v>250</v>
      </c>
      <c r="G1114">
        <v>200</v>
      </c>
      <c r="H1114" t="s">
        <v>62</v>
      </c>
      <c r="I1114" t="s">
        <v>39</v>
      </c>
      <c r="J1114" t="s">
        <v>125</v>
      </c>
      <c r="K1114" s="4">
        <v>363.69</v>
      </c>
      <c r="L1114" t="s">
        <v>2620</v>
      </c>
      <c r="M1114" s="1">
        <v>46521</v>
      </c>
      <c r="N1114" t="s">
        <v>41</v>
      </c>
      <c r="O1114" t="s">
        <v>25</v>
      </c>
    </row>
    <row r="1115" spans="1:15" x14ac:dyDescent="0.25">
      <c r="A1115" t="s">
        <v>2621</v>
      </c>
      <c r="B1115" t="s">
        <v>98</v>
      </c>
      <c r="C1115">
        <v>2003</v>
      </c>
      <c r="D1115" t="s">
        <v>27</v>
      </c>
      <c r="E1115" t="s">
        <v>116</v>
      </c>
      <c r="F1115" t="s">
        <v>145</v>
      </c>
      <c r="G1115">
        <v>830</v>
      </c>
      <c r="H1115" t="s">
        <v>85</v>
      </c>
      <c r="I1115" t="s">
        <v>48</v>
      </c>
      <c r="J1115" t="s">
        <v>49</v>
      </c>
      <c r="K1115" s="4">
        <v>373.86</v>
      </c>
      <c r="L1115" t="s">
        <v>2622</v>
      </c>
      <c r="M1115" s="1">
        <v>46441</v>
      </c>
      <c r="N1115" t="s">
        <v>24</v>
      </c>
      <c r="O1115" t="s">
        <v>25</v>
      </c>
    </row>
    <row r="1116" spans="1:15" x14ac:dyDescent="0.25">
      <c r="A1116" t="s">
        <v>892</v>
      </c>
      <c r="B1116" t="s">
        <v>77</v>
      </c>
      <c r="C1116">
        <v>2008</v>
      </c>
      <c r="D1116" t="s">
        <v>66</v>
      </c>
      <c r="E1116" t="s">
        <v>45</v>
      </c>
      <c r="F1116" t="s">
        <v>1412</v>
      </c>
      <c r="G1116">
        <v>710</v>
      </c>
      <c r="H1116" t="s">
        <v>29</v>
      </c>
      <c r="I1116" t="s">
        <v>91</v>
      </c>
      <c r="J1116" t="s">
        <v>31</v>
      </c>
      <c r="K1116" s="4">
        <v>100.64</v>
      </c>
      <c r="L1116" t="s">
        <v>2623</v>
      </c>
      <c r="M1116" s="1">
        <v>45888</v>
      </c>
      <c r="N1116" t="s">
        <v>41</v>
      </c>
      <c r="O1116" t="s">
        <v>51</v>
      </c>
    </row>
    <row r="1117" spans="1:15" x14ac:dyDescent="0.25">
      <c r="A1117" t="s">
        <v>2624</v>
      </c>
      <c r="B1117" t="s">
        <v>134</v>
      </c>
      <c r="C1117">
        <v>2001</v>
      </c>
      <c r="D1117" t="s">
        <v>27</v>
      </c>
      <c r="E1117" t="s">
        <v>119</v>
      </c>
      <c r="F1117" t="s">
        <v>547</v>
      </c>
      <c r="G1117">
        <v>60</v>
      </c>
      <c r="H1117" t="s">
        <v>29</v>
      </c>
      <c r="I1117" t="s">
        <v>91</v>
      </c>
      <c r="J1117" t="s">
        <v>22</v>
      </c>
      <c r="K1117" s="4">
        <v>271.92</v>
      </c>
      <c r="L1117" t="s">
        <v>2625</v>
      </c>
      <c r="M1117" s="1">
        <v>46060</v>
      </c>
      <c r="N1117" t="s">
        <v>24</v>
      </c>
      <c r="O1117" t="s">
        <v>33</v>
      </c>
    </row>
    <row r="1118" spans="1:15" x14ac:dyDescent="0.25">
      <c r="A1118" t="s">
        <v>2626</v>
      </c>
      <c r="B1118" t="s">
        <v>134</v>
      </c>
      <c r="C1118">
        <v>1990</v>
      </c>
      <c r="D1118" t="s">
        <v>44</v>
      </c>
      <c r="E1118" t="s">
        <v>45</v>
      </c>
      <c r="F1118" t="s">
        <v>815</v>
      </c>
      <c r="G1118">
        <v>550</v>
      </c>
      <c r="H1118" t="s">
        <v>47</v>
      </c>
      <c r="I1118" t="s">
        <v>86</v>
      </c>
      <c r="J1118" t="s">
        <v>146</v>
      </c>
      <c r="K1118" s="4">
        <v>295.27999999999997</v>
      </c>
      <c r="L1118" t="s">
        <v>2627</v>
      </c>
      <c r="M1118" s="1">
        <v>46029</v>
      </c>
      <c r="N1118" t="s">
        <v>41</v>
      </c>
      <c r="O1118" t="s">
        <v>51</v>
      </c>
    </row>
    <row r="1119" spans="1:15" x14ac:dyDescent="0.25">
      <c r="A1119" t="s">
        <v>2628</v>
      </c>
      <c r="B1119" t="s">
        <v>53</v>
      </c>
      <c r="C1119">
        <v>2010</v>
      </c>
      <c r="D1119" t="s">
        <v>36</v>
      </c>
      <c r="E1119" t="s">
        <v>60</v>
      </c>
      <c r="F1119" t="s">
        <v>296</v>
      </c>
      <c r="G1119">
        <v>310</v>
      </c>
      <c r="H1119" t="s">
        <v>20</v>
      </c>
      <c r="I1119" t="s">
        <v>86</v>
      </c>
      <c r="J1119" t="s">
        <v>31</v>
      </c>
      <c r="K1119" s="4">
        <v>272.67</v>
      </c>
      <c r="L1119" t="s">
        <v>2629</v>
      </c>
      <c r="M1119" s="1">
        <v>45962</v>
      </c>
      <c r="N1119" t="s">
        <v>41</v>
      </c>
      <c r="O1119" t="s">
        <v>51</v>
      </c>
    </row>
    <row r="1120" spans="1:15" x14ac:dyDescent="0.25">
      <c r="A1120" t="s">
        <v>2530</v>
      </c>
      <c r="B1120" t="s">
        <v>59</v>
      </c>
      <c r="C1120">
        <v>1994</v>
      </c>
      <c r="D1120" t="s">
        <v>108</v>
      </c>
      <c r="E1120" t="s">
        <v>116</v>
      </c>
      <c r="F1120" t="s">
        <v>139</v>
      </c>
      <c r="G1120">
        <v>880</v>
      </c>
      <c r="H1120" t="s">
        <v>47</v>
      </c>
      <c r="I1120" t="s">
        <v>30</v>
      </c>
      <c r="J1120" t="s">
        <v>125</v>
      </c>
      <c r="K1120" s="4">
        <v>408.46</v>
      </c>
      <c r="L1120" t="s">
        <v>2630</v>
      </c>
      <c r="M1120" s="1">
        <v>46271</v>
      </c>
      <c r="N1120" t="s">
        <v>24</v>
      </c>
      <c r="O1120" t="s">
        <v>33</v>
      </c>
    </row>
    <row r="1121" spans="1:15" x14ac:dyDescent="0.25">
      <c r="A1121" t="s">
        <v>2631</v>
      </c>
      <c r="B1121" t="s">
        <v>70</v>
      </c>
      <c r="C1121">
        <v>2005</v>
      </c>
      <c r="D1121" t="s">
        <v>36</v>
      </c>
      <c r="E1121" t="s">
        <v>72</v>
      </c>
      <c r="F1121" t="s">
        <v>250</v>
      </c>
      <c r="G1121">
        <v>920</v>
      </c>
      <c r="H1121" t="s">
        <v>56</v>
      </c>
      <c r="I1121" t="s">
        <v>151</v>
      </c>
      <c r="J1121" t="s">
        <v>49</v>
      </c>
      <c r="K1121" s="4">
        <v>114.63</v>
      </c>
      <c r="L1121" t="s">
        <v>2632</v>
      </c>
      <c r="M1121" s="1">
        <v>45989</v>
      </c>
      <c r="N1121" t="s">
        <v>24</v>
      </c>
      <c r="O1121" t="s">
        <v>51</v>
      </c>
    </row>
    <row r="1122" spans="1:15" x14ac:dyDescent="0.25">
      <c r="A1122" t="s">
        <v>2633</v>
      </c>
      <c r="B1122" t="s">
        <v>59</v>
      </c>
      <c r="C1122">
        <v>1993</v>
      </c>
      <c r="D1122" t="s">
        <v>66</v>
      </c>
      <c r="E1122" t="s">
        <v>45</v>
      </c>
      <c r="F1122" t="s">
        <v>236</v>
      </c>
      <c r="G1122">
        <v>830</v>
      </c>
      <c r="H1122" t="s">
        <v>38</v>
      </c>
      <c r="I1122" t="s">
        <v>48</v>
      </c>
      <c r="J1122" t="s">
        <v>146</v>
      </c>
      <c r="K1122" s="4">
        <v>471.58</v>
      </c>
      <c r="L1122" t="s">
        <v>2634</v>
      </c>
      <c r="M1122" s="1">
        <v>45890</v>
      </c>
      <c r="N1122" t="s">
        <v>41</v>
      </c>
      <c r="O1122" t="s">
        <v>51</v>
      </c>
    </row>
    <row r="1123" spans="1:15" x14ac:dyDescent="0.25">
      <c r="A1123" t="s">
        <v>2635</v>
      </c>
      <c r="B1123" t="s">
        <v>134</v>
      </c>
      <c r="C1123">
        <v>1994</v>
      </c>
      <c r="D1123" t="s">
        <v>95</v>
      </c>
      <c r="E1123" t="s">
        <v>116</v>
      </c>
      <c r="F1123" t="s">
        <v>2636</v>
      </c>
      <c r="G1123">
        <v>370</v>
      </c>
      <c r="H1123" t="s">
        <v>56</v>
      </c>
      <c r="I1123" t="s">
        <v>48</v>
      </c>
      <c r="J1123" t="s">
        <v>31</v>
      </c>
      <c r="K1123" s="4">
        <v>138.72999999999999</v>
      </c>
      <c r="L1123" t="s">
        <v>2637</v>
      </c>
      <c r="M1123" s="1">
        <v>45878</v>
      </c>
      <c r="N1123" t="s">
        <v>75</v>
      </c>
      <c r="O1123" t="s">
        <v>25</v>
      </c>
    </row>
    <row r="1124" spans="1:15" x14ac:dyDescent="0.25">
      <c r="A1124" t="s">
        <v>2638</v>
      </c>
      <c r="B1124" t="s">
        <v>35</v>
      </c>
      <c r="C1124">
        <v>2018</v>
      </c>
      <c r="D1124" t="s">
        <v>108</v>
      </c>
      <c r="E1124" t="s">
        <v>18</v>
      </c>
      <c r="F1124" t="s">
        <v>67</v>
      </c>
      <c r="G1124">
        <v>190</v>
      </c>
      <c r="H1124" t="s">
        <v>38</v>
      </c>
      <c r="I1124" t="s">
        <v>48</v>
      </c>
      <c r="J1124" t="s">
        <v>110</v>
      </c>
      <c r="K1124" s="4">
        <v>19.72</v>
      </c>
      <c r="L1124" t="s">
        <v>2639</v>
      </c>
      <c r="M1124" s="1">
        <v>46742</v>
      </c>
      <c r="N1124" t="s">
        <v>75</v>
      </c>
      <c r="O1124" t="s">
        <v>51</v>
      </c>
    </row>
    <row r="1125" spans="1:15" x14ac:dyDescent="0.25">
      <c r="A1125" t="s">
        <v>2640</v>
      </c>
      <c r="B1125" t="s">
        <v>134</v>
      </c>
      <c r="C1125">
        <v>1997</v>
      </c>
      <c r="D1125" t="s">
        <v>108</v>
      </c>
      <c r="E1125" t="s">
        <v>99</v>
      </c>
      <c r="F1125" t="s">
        <v>342</v>
      </c>
      <c r="G1125">
        <v>230</v>
      </c>
      <c r="H1125" t="s">
        <v>62</v>
      </c>
      <c r="I1125" t="s">
        <v>91</v>
      </c>
      <c r="J1125" t="s">
        <v>121</v>
      </c>
      <c r="K1125" s="4">
        <v>100.64</v>
      </c>
      <c r="L1125" t="s">
        <v>2641</v>
      </c>
      <c r="M1125" s="1">
        <v>46477</v>
      </c>
      <c r="N1125" t="s">
        <v>41</v>
      </c>
      <c r="O1125" t="s">
        <v>25</v>
      </c>
    </row>
    <row r="1126" spans="1:15" x14ac:dyDescent="0.25">
      <c r="A1126" t="s">
        <v>2642</v>
      </c>
      <c r="B1126" t="s">
        <v>59</v>
      </c>
      <c r="C1126">
        <v>2019</v>
      </c>
      <c r="D1126" t="s">
        <v>44</v>
      </c>
      <c r="E1126" t="s">
        <v>54</v>
      </c>
      <c r="F1126" t="s">
        <v>493</v>
      </c>
      <c r="G1126">
        <v>730</v>
      </c>
      <c r="H1126" t="s">
        <v>56</v>
      </c>
      <c r="I1126" t="s">
        <v>151</v>
      </c>
      <c r="J1126" t="s">
        <v>110</v>
      </c>
      <c r="K1126" s="4">
        <v>345.7</v>
      </c>
      <c r="L1126" t="s">
        <v>2643</v>
      </c>
      <c r="M1126" s="1">
        <v>46629</v>
      </c>
      <c r="N1126" t="s">
        <v>41</v>
      </c>
      <c r="O1126" t="s">
        <v>51</v>
      </c>
    </row>
    <row r="1127" spans="1:15" x14ac:dyDescent="0.25">
      <c r="A1127" t="s">
        <v>2644</v>
      </c>
      <c r="B1127" t="s">
        <v>70</v>
      </c>
      <c r="C1127">
        <v>2000</v>
      </c>
      <c r="D1127" t="s">
        <v>89</v>
      </c>
      <c r="E1127" t="s">
        <v>104</v>
      </c>
      <c r="F1127" t="s">
        <v>145</v>
      </c>
      <c r="G1127">
        <v>290</v>
      </c>
      <c r="H1127" t="s">
        <v>56</v>
      </c>
      <c r="I1127" t="s">
        <v>73</v>
      </c>
      <c r="J1127" t="s">
        <v>146</v>
      </c>
      <c r="K1127" s="4">
        <v>208.03</v>
      </c>
      <c r="L1127" t="s">
        <v>2645</v>
      </c>
      <c r="M1127" s="1">
        <v>46783</v>
      </c>
      <c r="N1127" t="s">
        <v>75</v>
      </c>
      <c r="O1127" t="s">
        <v>51</v>
      </c>
    </row>
    <row r="1128" spans="1:15" x14ac:dyDescent="0.25">
      <c r="A1128" t="s">
        <v>2646</v>
      </c>
      <c r="B1128" t="s">
        <v>53</v>
      </c>
      <c r="C1128">
        <v>2002</v>
      </c>
      <c r="D1128" t="s">
        <v>44</v>
      </c>
      <c r="E1128" t="s">
        <v>72</v>
      </c>
      <c r="F1128" t="s">
        <v>1467</v>
      </c>
      <c r="G1128">
        <v>290</v>
      </c>
      <c r="H1128" t="s">
        <v>20</v>
      </c>
      <c r="I1128" t="s">
        <v>39</v>
      </c>
      <c r="J1128" t="s">
        <v>101</v>
      </c>
      <c r="K1128" s="4">
        <v>350.04</v>
      </c>
      <c r="L1128" t="s">
        <v>2647</v>
      </c>
      <c r="M1128" s="1">
        <v>46236</v>
      </c>
      <c r="N1128" t="s">
        <v>41</v>
      </c>
      <c r="O1128" t="s">
        <v>25</v>
      </c>
    </row>
    <row r="1129" spans="1:15" x14ac:dyDescent="0.25">
      <c r="A1129" t="s">
        <v>2648</v>
      </c>
      <c r="B1129" t="s">
        <v>43</v>
      </c>
      <c r="C1129">
        <v>1996</v>
      </c>
      <c r="D1129" t="s">
        <v>44</v>
      </c>
      <c r="E1129" t="s">
        <v>54</v>
      </c>
      <c r="F1129" t="s">
        <v>946</v>
      </c>
      <c r="G1129">
        <v>460</v>
      </c>
      <c r="H1129" t="s">
        <v>56</v>
      </c>
      <c r="I1129" t="s">
        <v>39</v>
      </c>
      <c r="J1129" t="s">
        <v>110</v>
      </c>
      <c r="K1129" s="4">
        <v>248.83</v>
      </c>
      <c r="L1129" t="s">
        <v>2649</v>
      </c>
      <c r="M1129" s="1">
        <v>46834</v>
      </c>
      <c r="N1129" t="s">
        <v>24</v>
      </c>
      <c r="O1129" t="s">
        <v>51</v>
      </c>
    </row>
    <row r="1130" spans="1:15" x14ac:dyDescent="0.25">
      <c r="A1130" t="s">
        <v>2650</v>
      </c>
      <c r="B1130" t="s">
        <v>16</v>
      </c>
      <c r="C1130">
        <v>2013</v>
      </c>
      <c r="D1130" t="s">
        <v>17</v>
      </c>
      <c r="E1130" t="s">
        <v>18</v>
      </c>
      <c r="F1130" t="s">
        <v>67</v>
      </c>
      <c r="G1130">
        <v>470</v>
      </c>
      <c r="H1130" t="s">
        <v>85</v>
      </c>
      <c r="I1130" t="s">
        <v>186</v>
      </c>
      <c r="J1130" t="s">
        <v>125</v>
      </c>
      <c r="K1130" s="4">
        <v>468.91</v>
      </c>
      <c r="L1130" t="s">
        <v>2651</v>
      </c>
      <c r="M1130" s="1">
        <v>46476</v>
      </c>
      <c r="N1130" t="s">
        <v>41</v>
      </c>
      <c r="O1130" t="s">
        <v>25</v>
      </c>
    </row>
    <row r="1131" spans="1:15" x14ac:dyDescent="0.25">
      <c r="A1131" t="s">
        <v>2652</v>
      </c>
      <c r="B1131" t="s">
        <v>98</v>
      </c>
      <c r="C1131">
        <v>2013</v>
      </c>
      <c r="D1131" t="s">
        <v>95</v>
      </c>
      <c r="E1131" t="s">
        <v>45</v>
      </c>
      <c r="F1131" t="s">
        <v>2653</v>
      </c>
      <c r="G1131">
        <v>10</v>
      </c>
      <c r="H1131" t="s">
        <v>47</v>
      </c>
      <c r="I1131" t="s">
        <v>80</v>
      </c>
      <c r="J1131" t="s">
        <v>22</v>
      </c>
      <c r="K1131" s="4">
        <v>116.56</v>
      </c>
      <c r="L1131" t="s">
        <v>2654</v>
      </c>
      <c r="M1131" s="1">
        <v>46469</v>
      </c>
      <c r="N1131" t="s">
        <v>75</v>
      </c>
      <c r="O1131" t="s">
        <v>51</v>
      </c>
    </row>
    <row r="1132" spans="1:15" x14ac:dyDescent="0.25">
      <c r="A1132" t="s">
        <v>2655</v>
      </c>
      <c r="B1132" t="s">
        <v>70</v>
      </c>
      <c r="C1132">
        <v>2011</v>
      </c>
      <c r="D1132" t="s">
        <v>66</v>
      </c>
      <c r="E1132" t="s">
        <v>104</v>
      </c>
      <c r="F1132" t="s">
        <v>375</v>
      </c>
      <c r="G1132">
        <v>70</v>
      </c>
      <c r="H1132" t="s">
        <v>29</v>
      </c>
      <c r="I1132" t="s">
        <v>86</v>
      </c>
      <c r="J1132" t="s">
        <v>110</v>
      </c>
      <c r="K1132" s="4">
        <v>140.58000000000001</v>
      </c>
      <c r="L1132" t="s">
        <v>2656</v>
      </c>
      <c r="M1132" s="1">
        <v>46356</v>
      </c>
      <c r="N1132" t="s">
        <v>75</v>
      </c>
      <c r="O1132" t="s">
        <v>25</v>
      </c>
    </row>
    <row r="1133" spans="1:15" x14ac:dyDescent="0.25">
      <c r="A1133" t="s">
        <v>2657</v>
      </c>
      <c r="B1133" t="s">
        <v>138</v>
      </c>
      <c r="C1133">
        <v>2020</v>
      </c>
      <c r="D1133" t="s">
        <v>27</v>
      </c>
      <c r="E1133" t="s">
        <v>119</v>
      </c>
      <c r="F1133" t="s">
        <v>439</v>
      </c>
      <c r="G1133">
        <v>460</v>
      </c>
      <c r="H1133" t="s">
        <v>47</v>
      </c>
      <c r="I1133" t="s">
        <v>30</v>
      </c>
      <c r="J1133" t="s">
        <v>110</v>
      </c>
      <c r="K1133" s="4">
        <v>337.31</v>
      </c>
      <c r="L1133" t="s">
        <v>2658</v>
      </c>
      <c r="M1133" s="1">
        <v>45966</v>
      </c>
      <c r="N1133" t="s">
        <v>75</v>
      </c>
      <c r="O1133" t="s">
        <v>51</v>
      </c>
    </row>
    <row r="1134" spans="1:15" x14ac:dyDescent="0.25">
      <c r="A1134" t="s">
        <v>2659</v>
      </c>
      <c r="B1134" t="s">
        <v>134</v>
      </c>
      <c r="C1134">
        <v>2004</v>
      </c>
      <c r="D1134" t="s">
        <v>17</v>
      </c>
      <c r="E1134" t="s">
        <v>45</v>
      </c>
      <c r="F1134" t="s">
        <v>661</v>
      </c>
      <c r="G1134">
        <v>900</v>
      </c>
      <c r="H1134" t="s">
        <v>38</v>
      </c>
      <c r="I1134" t="s">
        <v>91</v>
      </c>
      <c r="J1134" t="s">
        <v>63</v>
      </c>
      <c r="K1134" s="4">
        <v>201.06</v>
      </c>
      <c r="L1134" t="s">
        <v>2660</v>
      </c>
      <c r="M1134" s="1">
        <v>46783</v>
      </c>
      <c r="N1134" t="s">
        <v>24</v>
      </c>
      <c r="O1134" t="s">
        <v>51</v>
      </c>
    </row>
    <row r="1135" spans="1:15" x14ac:dyDescent="0.25">
      <c r="A1135" t="s">
        <v>2661</v>
      </c>
      <c r="B1135" t="s">
        <v>35</v>
      </c>
      <c r="C1135">
        <v>2002</v>
      </c>
      <c r="D1135" t="s">
        <v>89</v>
      </c>
      <c r="E1135" t="s">
        <v>72</v>
      </c>
      <c r="F1135" t="s">
        <v>2662</v>
      </c>
      <c r="G1135">
        <v>320</v>
      </c>
      <c r="H1135" t="s">
        <v>47</v>
      </c>
      <c r="I1135" t="s">
        <v>73</v>
      </c>
      <c r="J1135" t="s">
        <v>110</v>
      </c>
      <c r="K1135" s="4">
        <v>369.85</v>
      </c>
      <c r="L1135" t="s">
        <v>2663</v>
      </c>
      <c r="M1135" s="1">
        <v>46353</v>
      </c>
      <c r="N1135" t="s">
        <v>41</v>
      </c>
      <c r="O1135" t="s">
        <v>25</v>
      </c>
    </row>
    <row r="1136" spans="1:15" x14ac:dyDescent="0.25">
      <c r="A1136" t="s">
        <v>2664</v>
      </c>
      <c r="B1136" t="s">
        <v>70</v>
      </c>
      <c r="C1136">
        <v>1993</v>
      </c>
      <c r="D1136" t="s">
        <v>36</v>
      </c>
      <c r="E1136" t="s">
        <v>104</v>
      </c>
      <c r="F1136" t="s">
        <v>679</v>
      </c>
      <c r="G1136">
        <v>340</v>
      </c>
      <c r="H1136" t="s">
        <v>29</v>
      </c>
      <c r="I1136" t="s">
        <v>80</v>
      </c>
      <c r="J1136" t="s">
        <v>22</v>
      </c>
      <c r="K1136" s="4">
        <v>383.98</v>
      </c>
      <c r="L1136" t="s">
        <v>2665</v>
      </c>
      <c r="M1136" s="1">
        <v>46278</v>
      </c>
      <c r="N1136" t="s">
        <v>75</v>
      </c>
      <c r="O1136" t="s">
        <v>51</v>
      </c>
    </row>
    <row r="1137" spans="1:15" x14ac:dyDescent="0.25">
      <c r="A1137" t="s">
        <v>2666</v>
      </c>
      <c r="B1137" t="s">
        <v>70</v>
      </c>
      <c r="C1137">
        <v>2013</v>
      </c>
      <c r="D1137" t="s">
        <v>44</v>
      </c>
      <c r="E1137" t="s">
        <v>18</v>
      </c>
      <c r="F1137" t="s">
        <v>139</v>
      </c>
      <c r="G1137">
        <v>670</v>
      </c>
      <c r="H1137" t="s">
        <v>85</v>
      </c>
      <c r="I1137" t="s">
        <v>30</v>
      </c>
      <c r="J1137" t="s">
        <v>63</v>
      </c>
      <c r="K1137" s="4">
        <v>123.75</v>
      </c>
      <c r="L1137" t="s">
        <v>2667</v>
      </c>
      <c r="M1137" s="1">
        <v>46547</v>
      </c>
      <c r="N1137" t="s">
        <v>24</v>
      </c>
      <c r="O1137" t="s">
        <v>51</v>
      </c>
    </row>
    <row r="1138" spans="1:15" x14ac:dyDescent="0.25">
      <c r="A1138" t="s">
        <v>2668</v>
      </c>
      <c r="B1138" t="s">
        <v>35</v>
      </c>
      <c r="C1138">
        <v>2009</v>
      </c>
      <c r="D1138" t="s">
        <v>83</v>
      </c>
      <c r="E1138" t="s">
        <v>104</v>
      </c>
      <c r="F1138" t="s">
        <v>2669</v>
      </c>
      <c r="G1138">
        <v>770</v>
      </c>
      <c r="H1138" t="s">
        <v>20</v>
      </c>
      <c r="I1138" t="s">
        <v>48</v>
      </c>
      <c r="J1138" t="s">
        <v>146</v>
      </c>
      <c r="K1138" s="4">
        <v>387.44</v>
      </c>
      <c r="L1138" t="s">
        <v>2670</v>
      </c>
      <c r="M1138" s="1">
        <v>45881</v>
      </c>
      <c r="N1138" t="s">
        <v>24</v>
      </c>
      <c r="O1138" t="s">
        <v>25</v>
      </c>
    </row>
    <row r="1139" spans="1:15" x14ac:dyDescent="0.25">
      <c r="A1139" t="s">
        <v>2671</v>
      </c>
      <c r="B1139" t="s">
        <v>98</v>
      </c>
      <c r="C1139">
        <v>2014</v>
      </c>
      <c r="D1139" t="s">
        <v>36</v>
      </c>
      <c r="E1139" t="s">
        <v>116</v>
      </c>
      <c r="F1139" t="s">
        <v>1043</v>
      </c>
      <c r="G1139">
        <v>800</v>
      </c>
      <c r="H1139" t="s">
        <v>47</v>
      </c>
      <c r="I1139" t="s">
        <v>91</v>
      </c>
      <c r="J1139" t="s">
        <v>92</v>
      </c>
      <c r="K1139" s="4">
        <v>64.180000000000007</v>
      </c>
      <c r="L1139" t="s">
        <v>2672</v>
      </c>
      <c r="M1139" s="1">
        <v>46791</v>
      </c>
      <c r="N1139" t="s">
        <v>75</v>
      </c>
      <c r="O1139" t="s">
        <v>25</v>
      </c>
    </row>
    <row r="1140" spans="1:15" x14ac:dyDescent="0.25">
      <c r="A1140" t="s">
        <v>2673</v>
      </c>
      <c r="B1140" t="s">
        <v>77</v>
      </c>
      <c r="C1140">
        <v>1994</v>
      </c>
      <c r="D1140" t="s">
        <v>36</v>
      </c>
      <c r="E1140" t="s">
        <v>104</v>
      </c>
      <c r="F1140" t="s">
        <v>994</v>
      </c>
      <c r="G1140">
        <v>390</v>
      </c>
      <c r="H1140" t="s">
        <v>29</v>
      </c>
      <c r="I1140" t="s">
        <v>39</v>
      </c>
      <c r="J1140" t="s">
        <v>101</v>
      </c>
      <c r="K1140" s="4">
        <v>133.31</v>
      </c>
      <c r="L1140" t="s">
        <v>2674</v>
      </c>
      <c r="M1140" s="1">
        <v>46700</v>
      </c>
      <c r="N1140" t="s">
        <v>24</v>
      </c>
      <c r="O1140" t="s">
        <v>33</v>
      </c>
    </row>
    <row r="1141" spans="1:15" x14ac:dyDescent="0.25">
      <c r="A1141" t="s">
        <v>2675</v>
      </c>
      <c r="B1141" t="s">
        <v>16</v>
      </c>
      <c r="C1141">
        <v>2019</v>
      </c>
      <c r="D1141" t="s">
        <v>27</v>
      </c>
      <c r="E1141" t="s">
        <v>99</v>
      </c>
      <c r="F1141" t="s">
        <v>145</v>
      </c>
      <c r="G1141">
        <v>10</v>
      </c>
      <c r="H1141" t="s">
        <v>62</v>
      </c>
      <c r="I1141" t="s">
        <v>86</v>
      </c>
      <c r="J1141" t="s">
        <v>146</v>
      </c>
      <c r="K1141" s="4">
        <v>27.73</v>
      </c>
      <c r="L1141" t="s">
        <v>2676</v>
      </c>
      <c r="M1141" s="1">
        <v>46212</v>
      </c>
      <c r="N1141" t="s">
        <v>41</v>
      </c>
      <c r="O1141" t="s">
        <v>25</v>
      </c>
    </row>
    <row r="1142" spans="1:15" x14ac:dyDescent="0.25">
      <c r="A1142" t="s">
        <v>2677</v>
      </c>
      <c r="B1142" t="s">
        <v>134</v>
      </c>
      <c r="C1142">
        <v>2015</v>
      </c>
      <c r="D1142" t="s">
        <v>71</v>
      </c>
      <c r="E1142" t="s">
        <v>116</v>
      </c>
      <c r="F1142" t="s">
        <v>2678</v>
      </c>
      <c r="G1142">
        <v>300</v>
      </c>
      <c r="H1142" t="s">
        <v>29</v>
      </c>
      <c r="I1142" t="s">
        <v>80</v>
      </c>
      <c r="J1142" t="s">
        <v>63</v>
      </c>
      <c r="K1142" s="4">
        <v>299.79000000000002</v>
      </c>
      <c r="L1142" t="s">
        <v>2679</v>
      </c>
      <c r="M1142" s="1">
        <v>46136</v>
      </c>
      <c r="N1142" t="s">
        <v>41</v>
      </c>
      <c r="O1142" t="s">
        <v>33</v>
      </c>
    </row>
    <row r="1143" spans="1:15" x14ac:dyDescent="0.25">
      <c r="A1143" t="s">
        <v>2680</v>
      </c>
      <c r="B1143" t="s">
        <v>35</v>
      </c>
      <c r="C1143">
        <v>2015</v>
      </c>
      <c r="D1143" t="s">
        <v>66</v>
      </c>
      <c r="E1143" t="s">
        <v>116</v>
      </c>
      <c r="F1143" t="s">
        <v>185</v>
      </c>
      <c r="G1143">
        <v>910</v>
      </c>
      <c r="H1143" t="s">
        <v>38</v>
      </c>
      <c r="I1143" t="s">
        <v>21</v>
      </c>
      <c r="J1143" t="s">
        <v>101</v>
      </c>
      <c r="K1143" s="4">
        <v>122.51</v>
      </c>
      <c r="L1143" t="s">
        <v>2681</v>
      </c>
      <c r="M1143" s="1">
        <v>46314</v>
      </c>
      <c r="N1143" t="s">
        <v>41</v>
      </c>
      <c r="O1143" t="s">
        <v>25</v>
      </c>
    </row>
    <row r="1144" spans="1:15" x14ac:dyDescent="0.25">
      <c r="A1144" t="s">
        <v>2682</v>
      </c>
      <c r="B1144" t="s">
        <v>59</v>
      </c>
      <c r="C1144">
        <v>1995</v>
      </c>
      <c r="D1144" t="s">
        <v>95</v>
      </c>
      <c r="E1144" t="s">
        <v>99</v>
      </c>
      <c r="F1144" t="s">
        <v>2683</v>
      </c>
      <c r="G1144">
        <v>620</v>
      </c>
      <c r="H1144" t="s">
        <v>29</v>
      </c>
      <c r="I1144" t="s">
        <v>21</v>
      </c>
      <c r="J1144" t="s">
        <v>101</v>
      </c>
      <c r="K1144" s="4">
        <v>191.01</v>
      </c>
      <c r="L1144" t="s">
        <v>2684</v>
      </c>
      <c r="M1144" s="1">
        <v>46468</v>
      </c>
      <c r="N1144" t="s">
        <v>41</v>
      </c>
      <c r="O1144" t="s">
        <v>51</v>
      </c>
    </row>
    <row r="1145" spans="1:15" x14ac:dyDescent="0.25">
      <c r="A1145" t="s">
        <v>2685</v>
      </c>
      <c r="B1145" t="s">
        <v>98</v>
      </c>
      <c r="C1145">
        <v>2004</v>
      </c>
      <c r="D1145" t="s">
        <v>66</v>
      </c>
      <c r="E1145" t="s">
        <v>72</v>
      </c>
      <c r="F1145" t="s">
        <v>323</v>
      </c>
      <c r="G1145">
        <v>580</v>
      </c>
      <c r="H1145" t="s">
        <v>29</v>
      </c>
      <c r="I1145" t="s">
        <v>48</v>
      </c>
      <c r="J1145" t="s">
        <v>63</v>
      </c>
      <c r="K1145" s="4">
        <v>245.86</v>
      </c>
      <c r="L1145" t="s">
        <v>2686</v>
      </c>
      <c r="M1145" s="1">
        <v>46795</v>
      </c>
      <c r="N1145" t="s">
        <v>41</v>
      </c>
      <c r="O1145" t="s">
        <v>51</v>
      </c>
    </row>
    <row r="1146" spans="1:15" x14ac:dyDescent="0.25">
      <c r="A1146" t="s">
        <v>2687</v>
      </c>
      <c r="B1146" t="s">
        <v>77</v>
      </c>
      <c r="C1146">
        <v>1991</v>
      </c>
      <c r="D1146" t="s">
        <v>66</v>
      </c>
      <c r="E1146" t="s">
        <v>60</v>
      </c>
      <c r="F1146" t="s">
        <v>2688</v>
      </c>
      <c r="G1146">
        <v>550</v>
      </c>
      <c r="H1146" t="s">
        <v>47</v>
      </c>
      <c r="I1146" t="s">
        <v>73</v>
      </c>
      <c r="J1146" t="s">
        <v>101</v>
      </c>
      <c r="K1146" s="4">
        <v>160.86000000000001</v>
      </c>
      <c r="L1146" t="s">
        <v>2689</v>
      </c>
      <c r="M1146" s="1">
        <v>46230</v>
      </c>
      <c r="N1146" t="s">
        <v>24</v>
      </c>
      <c r="O1146" t="s">
        <v>25</v>
      </c>
    </row>
    <row r="1147" spans="1:15" x14ac:dyDescent="0.25">
      <c r="A1147" t="s">
        <v>2690</v>
      </c>
      <c r="B1147" t="s">
        <v>138</v>
      </c>
      <c r="C1147">
        <v>1995</v>
      </c>
      <c r="D1147" t="s">
        <v>89</v>
      </c>
      <c r="E1147" t="s">
        <v>72</v>
      </c>
      <c r="F1147" t="s">
        <v>61</v>
      </c>
      <c r="G1147">
        <v>30</v>
      </c>
      <c r="H1147" t="s">
        <v>85</v>
      </c>
      <c r="I1147" t="s">
        <v>186</v>
      </c>
      <c r="J1147" t="s">
        <v>110</v>
      </c>
      <c r="K1147" s="4">
        <v>205.22</v>
      </c>
      <c r="L1147" t="s">
        <v>2691</v>
      </c>
      <c r="M1147" s="1">
        <v>46364</v>
      </c>
      <c r="N1147" t="s">
        <v>24</v>
      </c>
      <c r="O1147" t="s">
        <v>51</v>
      </c>
    </row>
    <row r="1148" spans="1:15" x14ac:dyDescent="0.25">
      <c r="A1148" t="s">
        <v>2692</v>
      </c>
      <c r="B1148" t="s">
        <v>77</v>
      </c>
      <c r="C1148">
        <v>1991</v>
      </c>
      <c r="D1148" t="s">
        <v>66</v>
      </c>
      <c r="E1148" t="s">
        <v>119</v>
      </c>
      <c r="F1148" t="s">
        <v>28</v>
      </c>
      <c r="G1148">
        <v>230</v>
      </c>
      <c r="H1148" t="s">
        <v>47</v>
      </c>
      <c r="I1148" t="s">
        <v>80</v>
      </c>
      <c r="J1148" t="s">
        <v>146</v>
      </c>
      <c r="K1148" s="4">
        <v>310.06</v>
      </c>
      <c r="L1148" t="s">
        <v>2693</v>
      </c>
      <c r="M1148" s="1">
        <v>46503</v>
      </c>
      <c r="N1148" t="s">
        <v>41</v>
      </c>
      <c r="O1148" t="s">
        <v>51</v>
      </c>
    </row>
    <row r="1149" spans="1:15" x14ac:dyDescent="0.25">
      <c r="A1149" t="s">
        <v>2694</v>
      </c>
      <c r="B1149" t="s">
        <v>98</v>
      </c>
      <c r="C1149">
        <v>2006</v>
      </c>
      <c r="D1149" t="s">
        <v>44</v>
      </c>
      <c r="E1149" t="s">
        <v>119</v>
      </c>
      <c r="F1149" t="s">
        <v>296</v>
      </c>
      <c r="G1149">
        <v>80</v>
      </c>
      <c r="H1149" t="s">
        <v>85</v>
      </c>
      <c r="I1149" t="s">
        <v>73</v>
      </c>
      <c r="J1149" t="s">
        <v>31</v>
      </c>
      <c r="K1149" s="4">
        <v>197.54</v>
      </c>
      <c r="L1149" t="s">
        <v>2695</v>
      </c>
      <c r="M1149" s="1">
        <v>45940</v>
      </c>
      <c r="N1149" t="s">
        <v>41</v>
      </c>
      <c r="O1149" t="s">
        <v>25</v>
      </c>
    </row>
    <row r="1150" spans="1:15" x14ac:dyDescent="0.25">
      <c r="A1150" t="s">
        <v>2696</v>
      </c>
      <c r="B1150" t="s">
        <v>77</v>
      </c>
      <c r="C1150">
        <v>2020</v>
      </c>
      <c r="D1150" t="s">
        <v>108</v>
      </c>
      <c r="E1150" t="s">
        <v>45</v>
      </c>
      <c r="F1150" t="s">
        <v>145</v>
      </c>
      <c r="G1150">
        <v>810</v>
      </c>
      <c r="H1150" t="s">
        <v>20</v>
      </c>
      <c r="I1150" t="s">
        <v>39</v>
      </c>
      <c r="J1150" t="s">
        <v>63</v>
      </c>
      <c r="K1150" s="4">
        <v>58.56</v>
      </c>
      <c r="L1150" t="s">
        <v>2697</v>
      </c>
      <c r="M1150" s="1">
        <v>46049</v>
      </c>
      <c r="N1150" t="s">
        <v>75</v>
      </c>
      <c r="O1150" t="s">
        <v>25</v>
      </c>
    </row>
    <row r="1151" spans="1:15" x14ac:dyDescent="0.25">
      <c r="A1151" t="s">
        <v>2698</v>
      </c>
      <c r="B1151" t="s">
        <v>77</v>
      </c>
      <c r="C1151">
        <v>1995</v>
      </c>
      <c r="D1151" t="s">
        <v>66</v>
      </c>
      <c r="E1151" t="s">
        <v>45</v>
      </c>
      <c r="F1151" t="s">
        <v>19</v>
      </c>
      <c r="G1151">
        <v>810</v>
      </c>
      <c r="H1151" t="s">
        <v>85</v>
      </c>
      <c r="I1151" t="s">
        <v>39</v>
      </c>
      <c r="J1151" t="s">
        <v>121</v>
      </c>
      <c r="K1151" s="4">
        <v>56.56</v>
      </c>
      <c r="L1151" t="s">
        <v>2699</v>
      </c>
      <c r="M1151" s="1">
        <v>46665</v>
      </c>
      <c r="N1151" t="s">
        <v>75</v>
      </c>
      <c r="O1151" t="s">
        <v>51</v>
      </c>
    </row>
    <row r="1152" spans="1:15" x14ac:dyDescent="0.25">
      <c r="A1152" t="s">
        <v>2700</v>
      </c>
      <c r="B1152" t="s">
        <v>134</v>
      </c>
      <c r="C1152">
        <v>2022</v>
      </c>
      <c r="D1152" t="s">
        <v>27</v>
      </c>
      <c r="E1152" t="s">
        <v>78</v>
      </c>
      <c r="F1152" t="s">
        <v>2701</v>
      </c>
      <c r="G1152">
        <v>320</v>
      </c>
      <c r="H1152" t="s">
        <v>20</v>
      </c>
      <c r="I1152" t="s">
        <v>151</v>
      </c>
      <c r="J1152" t="s">
        <v>125</v>
      </c>
      <c r="K1152" s="4">
        <v>422.48</v>
      </c>
      <c r="L1152" t="s">
        <v>2702</v>
      </c>
      <c r="M1152" s="1">
        <v>46385</v>
      </c>
      <c r="N1152" t="s">
        <v>41</v>
      </c>
      <c r="O1152" t="s">
        <v>33</v>
      </c>
    </row>
    <row r="1153" spans="1:15" x14ac:dyDescent="0.25">
      <c r="A1153" t="s">
        <v>2703</v>
      </c>
      <c r="B1153" t="s">
        <v>43</v>
      </c>
      <c r="C1153">
        <v>2024</v>
      </c>
      <c r="D1153" t="s">
        <v>17</v>
      </c>
      <c r="E1153" t="s">
        <v>54</v>
      </c>
      <c r="F1153" t="s">
        <v>293</v>
      </c>
      <c r="G1153">
        <v>250</v>
      </c>
      <c r="H1153" t="s">
        <v>85</v>
      </c>
      <c r="I1153" t="s">
        <v>48</v>
      </c>
      <c r="J1153" t="s">
        <v>22</v>
      </c>
      <c r="K1153" s="4">
        <v>73.58</v>
      </c>
      <c r="L1153" t="s">
        <v>2704</v>
      </c>
      <c r="M1153" s="1">
        <v>46034</v>
      </c>
      <c r="N1153" t="s">
        <v>75</v>
      </c>
      <c r="O1153" t="s">
        <v>25</v>
      </c>
    </row>
    <row r="1154" spans="1:15" x14ac:dyDescent="0.25">
      <c r="A1154" t="s">
        <v>2705</v>
      </c>
      <c r="B1154" t="s">
        <v>77</v>
      </c>
      <c r="C1154">
        <v>2006</v>
      </c>
      <c r="D1154" t="s">
        <v>71</v>
      </c>
      <c r="E1154" t="s">
        <v>104</v>
      </c>
      <c r="F1154" t="s">
        <v>139</v>
      </c>
      <c r="G1154">
        <v>970</v>
      </c>
      <c r="H1154" t="s">
        <v>47</v>
      </c>
      <c r="I1154" t="s">
        <v>80</v>
      </c>
      <c r="J1154" t="s">
        <v>63</v>
      </c>
      <c r="K1154" s="4">
        <v>179</v>
      </c>
      <c r="L1154" t="s">
        <v>2706</v>
      </c>
      <c r="M1154" s="1">
        <v>46737</v>
      </c>
      <c r="N1154" t="s">
        <v>41</v>
      </c>
      <c r="O1154" t="s">
        <v>33</v>
      </c>
    </row>
    <row r="1155" spans="1:15" x14ac:dyDescent="0.25">
      <c r="A1155" t="s">
        <v>2707</v>
      </c>
      <c r="B1155" t="s">
        <v>134</v>
      </c>
      <c r="C1155">
        <v>1992</v>
      </c>
      <c r="D1155" t="s">
        <v>83</v>
      </c>
      <c r="E1155" t="s">
        <v>54</v>
      </c>
      <c r="F1155" t="s">
        <v>463</v>
      </c>
      <c r="G1155">
        <v>430</v>
      </c>
      <c r="H1155" t="s">
        <v>85</v>
      </c>
      <c r="I1155" t="s">
        <v>91</v>
      </c>
      <c r="J1155" t="s">
        <v>92</v>
      </c>
      <c r="K1155" s="4">
        <v>238.43</v>
      </c>
      <c r="L1155" t="s">
        <v>2708</v>
      </c>
      <c r="M1155" s="1">
        <v>45946</v>
      </c>
      <c r="N1155" t="s">
        <v>24</v>
      </c>
      <c r="O1155" t="s">
        <v>33</v>
      </c>
    </row>
    <row r="1156" spans="1:15" x14ac:dyDescent="0.25">
      <c r="A1156" t="s">
        <v>2709</v>
      </c>
      <c r="B1156" t="s">
        <v>77</v>
      </c>
      <c r="C1156">
        <v>2002</v>
      </c>
      <c r="D1156" t="s">
        <v>44</v>
      </c>
      <c r="E1156" t="s">
        <v>45</v>
      </c>
      <c r="F1156" t="s">
        <v>135</v>
      </c>
      <c r="G1156">
        <v>570</v>
      </c>
      <c r="H1156" t="s">
        <v>47</v>
      </c>
      <c r="I1156" t="s">
        <v>91</v>
      </c>
      <c r="J1156" t="s">
        <v>125</v>
      </c>
      <c r="K1156" s="4">
        <v>355.98</v>
      </c>
      <c r="L1156" t="s">
        <v>2710</v>
      </c>
      <c r="M1156" s="1">
        <v>46750</v>
      </c>
      <c r="N1156" t="s">
        <v>24</v>
      </c>
      <c r="O1156" t="s">
        <v>33</v>
      </c>
    </row>
    <row r="1157" spans="1:15" x14ac:dyDescent="0.25">
      <c r="A1157" t="s">
        <v>2711</v>
      </c>
      <c r="B1157" t="s">
        <v>77</v>
      </c>
      <c r="C1157">
        <v>2018</v>
      </c>
      <c r="D1157" t="s">
        <v>95</v>
      </c>
      <c r="E1157" t="s">
        <v>45</v>
      </c>
      <c r="F1157" t="s">
        <v>28</v>
      </c>
      <c r="G1157">
        <v>580</v>
      </c>
      <c r="H1157" t="s">
        <v>85</v>
      </c>
      <c r="I1157" t="s">
        <v>80</v>
      </c>
      <c r="J1157" t="s">
        <v>92</v>
      </c>
      <c r="K1157" s="4">
        <v>367.51</v>
      </c>
      <c r="L1157" t="s">
        <v>2712</v>
      </c>
      <c r="M1157" s="1">
        <v>46836</v>
      </c>
      <c r="N1157" t="s">
        <v>24</v>
      </c>
      <c r="O1157" t="s">
        <v>25</v>
      </c>
    </row>
    <row r="1158" spans="1:15" x14ac:dyDescent="0.25">
      <c r="A1158" t="s">
        <v>2713</v>
      </c>
      <c r="B1158" t="s">
        <v>16</v>
      </c>
      <c r="C1158">
        <v>2022</v>
      </c>
      <c r="D1158" t="s">
        <v>95</v>
      </c>
      <c r="E1158" t="s">
        <v>119</v>
      </c>
      <c r="F1158" t="s">
        <v>145</v>
      </c>
      <c r="G1158">
        <v>490</v>
      </c>
      <c r="H1158" t="s">
        <v>29</v>
      </c>
      <c r="I1158" t="s">
        <v>80</v>
      </c>
      <c r="J1158" t="s">
        <v>49</v>
      </c>
      <c r="K1158" s="4">
        <v>65.150000000000006</v>
      </c>
      <c r="L1158" t="s">
        <v>2714</v>
      </c>
      <c r="M1158" s="1">
        <v>46699</v>
      </c>
      <c r="N1158" t="s">
        <v>75</v>
      </c>
      <c r="O1158" t="s">
        <v>51</v>
      </c>
    </row>
    <row r="1159" spans="1:15" x14ac:dyDescent="0.25">
      <c r="A1159" t="s">
        <v>2715</v>
      </c>
      <c r="B1159" t="s">
        <v>43</v>
      </c>
      <c r="C1159">
        <v>1997</v>
      </c>
      <c r="D1159" t="s">
        <v>83</v>
      </c>
      <c r="E1159" t="s">
        <v>99</v>
      </c>
      <c r="F1159" t="s">
        <v>273</v>
      </c>
      <c r="G1159">
        <v>130</v>
      </c>
      <c r="H1159" t="s">
        <v>56</v>
      </c>
      <c r="I1159" t="s">
        <v>73</v>
      </c>
      <c r="J1159" t="s">
        <v>22</v>
      </c>
      <c r="K1159" s="4">
        <v>289.43</v>
      </c>
      <c r="L1159" t="s">
        <v>2716</v>
      </c>
      <c r="M1159" s="1">
        <v>46466</v>
      </c>
      <c r="N1159" t="s">
        <v>41</v>
      </c>
      <c r="O1159" t="s">
        <v>33</v>
      </c>
    </row>
    <row r="1160" spans="1:15" x14ac:dyDescent="0.25">
      <c r="A1160" t="s">
        <v>2717</v>
      </c>
      <c r="B1160" t="s">
        <v>43</v>
      </c>
      <c r="C1160">
        <v>2008</v>
      </c>
      <c r="D1160" t="s">
        <v>108</v>
      </c>
      <c r="E1160" t="s">
        <v>54</v>
      </c>
      <c r="F1160" t="s">
        <v>929</v>
      </c>
      <c r="G1160">
        <v>560</v>
      </c>
      <c r="H1160" t="s">
        <v>85</v>
      </c>
      <c r="I1160" t="s">
        <v>30</v>
      </c>
      <c r="J1160" t="s">
        <v>121</v>
      </c>
      <c r="K1160" s="4">
        <v>82</v>
      </c>
      <c r="L1160" t="s">
        <v>2718</v>
      </c>
      <c r="M1160" s="1">
        <v>46641</v>
      </c>
      <c r="N1160" t="s">
        <v>41</v>
      </c>
      <c r="O1160" t="s">
        <v>33</v>
      </c>
    </row>
    <row r="1161" spans="1:15" x14ac:dyDescent="0.25">
      <c r="A1161" t="s">
        <v>411</v>
      </c>
      <c r="B1161" t="s">
        <v>53</v>
      </c>
      <c r="C1161">
        <v>2020</v>
      </c>
      <c r="D1161" t="s">
        <v>44</v>
      </c>
      <c r="E1161" t="s">
        <v>78</v>
      </c>
      <c r="F1161" t="s">
        <v>180</v>
      </c>
      <c r="G1161">
        <v>770</v>
      </c>
      <c r="H1161" t="s">
        <v>38</v>
      </c>
      <c r="I1161" t="s">
        <v>73</v>
      </c>
      <c r="J1161" t="s">
        <v>22</v>
      </c>
      <c r="K1161" s="4">
        <v>129.72</v>
      </c>
      <c r="L1161" t="s">
        <v>2719</v>
      </c>
      <c r="M1161" s="1">
        <v>46918</v>
      </c>
      <c r="N1161" t="s">
        <v>24</v>
      </c>
      <c r="O1161" t="s">
        <v>33</v>
      </c>
    </row>
    <row r="1162" spans="1:15" x14ac:dyDescent="0.25">
      <c r="A1162" t="s">
        <v>2720</v>
      </c>
      <c r="B1162" t="s">
        <v>59</v>
      </c>
      <c r="C1162">
        <v>1996</v>
      </c>
      <c r="D1162" t="s">
        <v>17</v>
      </c>
      <c r="E1162" t="s">
        <v>116</v>
      </c>
      <c r="F1162" t="s">
        <v>250</v>
      </c>
      <c r="G1162">
        <v>560</v>
      </c>
      <c r="H1162" t="s">
        <v>38</v>
      </c>
      <c r="I1162" t="s">
        <v>80</v>
      </c>
      <c r="J1162" t="s">
        <v>92</v>
      </c>
      <c r="K1162" s="4">
        <v>121.52</v>
      </c>
      <c r="L1162" t="s">
        <v>2721</v>
      </c>
      <c r="M1162" s="1">
        <v>46628</v>
      </c>
      <c r="N1162" t="s">
        <v>75</v>
      </c>
      <c r="O1162" t="s">
        <v>51</v>
      </c>
    </row>
    <row r="1163" spans="1:15" x14ac:dyDescent="0.25">
      <c r="A1163" t="s">
        <v>1340</v>
      </c>
      <c r="B1163" t="s">
        <v>59</v>
      </c>
      <c r="C1163">
        <v>1991</v>
      </c>
      <c r="D1163" t="s">
        <v>36</v>
      </c>
      <c r="E1163" t="s">
        <v>99</v>
      </c>
      <c r="F1163" t="s">
        <v>1055</v>
      </c>
      <c r="G1163">
        <v>120</v>
      </c>
      <c r="H1163" t="s">
        <v>85</v>
      </c>
      <c r="I1163" t="s">
        <v>21</v>
      </c>
      <c r="J1163" t="s">
        <v>22</v>
      </c>
      <c r="K1163" s="4">
        <v>258.8</v>
      </c>
      <c r="L1163" t="s">
        <v>2722</v>
      </c>
      <c r="M1163" s="1">
        <v>46893</v>
      </c>
      <c r="N1163" t="s">
        <v>41</v>
      </c>
      <c r="O1163" t="s">
        <v>33</v>
      </c>
    </row>
    <row r="1164" spans="1:15" x14ac:dyDescent="0.25">
      <c r="A1164" t="s">
        <v>2723</v>
      </c>
      <c r="B1164" t="s">
        <v>16</v>
      </c>
      <c r="C1164">
        <v>2022</v>
      </c>
      <c r="D1164" t="s">
        <v>71</v>
      </c>
      <c r="E1164" t="s">
        <v>116</v>
      </c>
      <c r="F1164" t="s">
        <v>162</v>
      </c>
      <c r="G1164">
        <v>210</v>
      </c>
      <c r="H1164" t="s">
        <v>20</v>
      </c>
      <c r="I1164" t="s">
        <v>21</v>
      </c>
      <c r="J1164" t="s">
        <v>31</v>
      </c>
      <c r="K1164" s="4">
        <v>171.03</v>
      </c>
      <c r="L1164" t="s">
        <v>2724</v>
      </c>
      <c r="M1164" s="1">
        <v>46936</v>
      </c>
      <c r="N1164" t="s">
        <v>75</v>
      </c>
      <c r="O1164" t="s">
        <v>25</v>
      </c>
    </row>
    <row r="1165" spans="1:15" x14ac:dyDescent="0.25">
      <c r="A1165" t="s">
        <v>2725</v>
      </c>
      <c r="B1165" t="s">
        <v>43</v>
      </c>
      <c r="C1165">
        <v>2009</v>
      </c>
      <c r="D1165" t="s">
        <v>17</v>
      </c>
      <c r="E1165" t="s">
        <v>60</v>
      </c>
      <c r="F1165" t="s">
        <v>67</v>
      </c>
      <c r="G1165">
        <v>110</v>
      </c>
      <c r="H1165" t="s">
        <v>47</v>
      </c>
      <c r="I1165" t="s">
        <v>186</v>
      </c>
      <c r="J1165" t="s">
        <v>22</v>
      </c>
      <c r="K1165" s="4">
        <v>194.72</v>
      </c>
      <c r="L1165" t="s">
        <v>2726</v>
      </c>
      <c r="M1165" s="1">
        <v>46274</v>
      </c>
      <c r="N1165" t="s">
        <v>75</v>
      </c>
      <c r="O1165" t="s">
        <v>33</v>
      </c>
    </row>
    <row r="1166" spans="1:15" x14ac:dyDescent="0.25">
      <c r="A1166" t="s">
        <v>2727</v>
      </c>
      <c r="B1166" t="s">
        <v>77</v>
      </c>
      <c r="C1166">
        <v>2022</v>
      </c>
      <c r="D1166" t="s">
        <v>83</v>
      </c>
      <c r="E1166" t="s">
        <v>60</v>
      </c>
      <c r="F1166" t="s">
        <v>208</v>
      </c>
      <c r="G1166">
        <v>970</v>
      </c>
      <c r="H1166" t="s">
        <v>38</v>
      </c>
      <c r="I1166" t="s">
        <v>48</v>
      </c>
      <c r="J1166" t="s">
        <v>22</v>
      </c>
      <c r="K1166" s="4">
        <v>48.8</v>
      </c>
      <c r="L1166" t="s">
        <v>2728</v>
      </c>
      <c r="M1166" s="1">
        <v>46342</v>
      </c>
      <c r="N1166" t="s">
        <v>75</v>
      </c>
      <c r="O1166" t="s">
        <v>33</v>
      </c>
    </row>
    <row r="1167" spans="1:15" x14ac:dyDescent="0.25">
      <c r="A1167" t="s">
        <v>1723</v>
      </c>
      <c r="B1167" t="s">
        <v>16</v>
      </c>
      <c r="C1167">
        <v>2022</v>
      </c>
      <c r="D1167" t="s">
        <v>95</v>
      </c>
      <c r="E1167" t="s">
        <v>78</v>
      </c>
      <c r="F1167" t="s">
        <v>250</v>
      </c>
      <c r="G1167">
        <v>170</v>
      </c>
      <c r="H1167" t="s">
        <v>85</v>
      </c>
      <c r="I1167" t="s">
        <v>48</v>
      </c>
      <c r="J1167" t="s">
        <v>121</v>
      </c>
      <c r="K1167" s="4">
        <v>394.19</v>
      </c>
      <c r="L1167" t="s">
        <v>2729</v>
      </c>
      <c r="M1167" s="1">
        <v>46468</v>
      </c>
      <c r="N1167" t="s">
        <v>75</v>
      </c>
      <c r="O1167" t="s">
        <v>25</v>
      </c>
    </row>
    <row r="1168" spans="1:15" x14ac:dyDescent="0.25">
      <c r="A1168" t="s">
        <v>2730</v>
      </c>
      <c r="B1168" t="s">
        <v>16</v>
      </c>
      <c r="C1168">
        <v>2007</v>
      </c>
      <c r="D1168" t="s">
        <v>44</v>
      </c>
      <c r="E1168" t="s">
        <v>119</v>
      </c>
      <c r="F1168" t="s">
        <v>1974</v>
      </c>
      <c r="G1168">
        <v>920</v>
      </c>
      <c r="H1168" t="s">
        <v>56</v>
      </c>
      <c r="I1168" t="s">
        <v>91</v>
      </c>
      <c r="J1168" t="s">
        <v>125</v>
      </c>
      <c r="K1168" s="4">
        <v>49.32</v>
      </c>
      <c r="L1168" t="s">
        <v>2731</v>
      </c>
      <c r="M1168" s="1">
        <v>46233</v>
      </c>
      <c r="N1168" t="s">
        <v>41</v>
      </c>
      <c r="O1168" t="s">
        <v>25</v>
      </c>
    </row>
    <row r="1169" spans="1:15" x14ac:dyDescent="0.25">
      <c r="A1169" t="s">
        <v>2732</v>
      </c>
      <c r="B1169" t="s">
        <v>98</v>
      </c>
      <c r="C1169">
        <v>2004</v>
      </c>
      <c r="D1169" t="s">
        <v>27</v>
      </c>
      <c r="E1169" t="s">
        <v>72</v>
      </c>
      <c r="F1169" t="s">
        <v>135</v>
      </c>
      <c r="G1169">
        <v>820</v>
      </c>
      <c r="H1169" t="s">
        <v>56</v>
      </c>
      <c r="I1169" t="s">
        <v>186</v>
      </c>
      <c r="J1169" t="s">
        <v>125</v>
      </c>
      <c r="K1169" s="4">
        <v>376.58</v>
      </c>
      <c r="L1169" t="s">
        <v>2733</v>
      </c>
      <c r="M1169" s="1">
        <v>45985</v>
      </c>
      <c r="N1169" t="s">
        <v>24</v>
      </c>
      <c r="O1169" t="s">
        <v>25</v>
      </c>
    </row>
    <row r="1170" spans="1:15" x14ac:dyDescent="0.25">
      <c r="A1170" t="s">
        <v>2734</v>
      </c>
      <c r="B1170" t="s">
        <v>134</v>
      </c>
      <c r="C1170">
        <v>1997</v>
      </c>
      <c r="D1170" t="s">
        <v>44</v>
      </c>
      <c r="E1170" t="s">
        <v>60</v>
      </c>
      <c r="F1170" t="s">
        <v>483</v>
      </c>
      <c r="G1170">
        <v>760</v>
      </c>
      <c r="H1170" t="s">
        <v>20</v>
      </c>
      <c r="I1170" t="s">
        <v>80</v>
      </c>
      <c r="J1170" t="s">
        <v>121</v>
      </c>
      <c r="K1170" s="4">
        <v>204.7</v>
      </c>
      <c r="L1170" t="s">
        <v>2735</v>
      </c>
      <c r="M1170" s="1">
        <v>46759</v>
      </c>
      <c r="N1170" t="s">
        <v>75</v>
      </c>
      <c r="O1170" t="s">
        <v>25</v>
      </c>
    </row>
    <row r="1171" spans="1:15" x14ac:dyDescent="0.25">
      <c r="A1171" t="s">
        <v>2736</v>
      </c>
      <c r="B1171" t="s">
        <v>53</v>
      </c>
      <c r="C1171">
        <v>1994</v>
      </c>
      <c r="D1171" t="s">
        <v>36</v>
      </c>
      <c r="E1171" t="s">
        <v>99</v>
      </c>
      <c r="F1171" t="s">
        <v>211</v>
      </c>
      <c r="G1171">
        <v>600</v>
      </c>
      <c r="H1171" t="s">
        <v>85</v>
      </c>
      <c r="I1171" t="s">
        <v>86</v>
      </c>
      <c r="J1171" t="s">
        <v>92</v>
      </c>
      <c r="K1171" s="4">
        <v>495.27</v>
      </c>
      <c r="L1171" t="s">
        <v>2737</v>
      </c>
      <c r="M1171" s="1">
        <v>46009</v>
      </c>
      <c r="N1171" t="s">
        <v>24</v>
      </c>
      <c r="O1171" t="s">
        <v>51</v>
      </c>
    </row>
    <row r="1172" spans="1:15" x14ac:dyDescent="0.25">
      <c r="A1172" t="s">
        <v>2738</v>
      </c>
      <c r="B1172" t="s">
        <v>35</v>
      </c>
      <c r="C1172">
        <v>2017</v>
      </c>
      <c r="D1172" t="s">
        <v>83</v>
      </c>
      <c r="E1172" t="s">
        <v>45</v>
      </c>
      <c r="F1172" t="s">
        <v>162</v>
      </c>
      <c r="G1172">
        <v>90</v>
      </c>
      <c r="H1172" t="s">
        <v>20</v>
      </c>
      <c r="I1172" t="s">
        <v>73</v>
      </c>
      <c r="J1172" t="s">
        <v>146</v>
      </c>
      <c r="K1172" s="4">
        <v>353.12</v>
      </c>
      <c r="L1172" t="s">
        <v>2739</v>
      </c>
      <c r="M1172" s="1">
        <v>46504</v>
      </c>
      <c r="N1172" t="s">
        <v>41</v>
      </c>
      <c r="O1172" t="s">
        <v>51</v>
      </c>
    </row>
    <row r="1173" spans="1:15" x14ac:dyDescent="0.25">
      <c r="A1173" t="s">
        <v>2740</v>
      </c>
      <c r="B1173" t="s">
        <v>43</v>
      </c>
      <c r="C1173">
        <v>2004</v>
      </c>
      <c r="D1173" t="s">
        <v>89</v>
      </c>
      <c r="E1173" t="s">
        <v>78</v>
      </c>
      <c r="F1173" t="s">
        <v>244</v>
      </c>
      <c r="G1173">
        <v>780</v>
      </c>
      <c r="H1173" t="s">
        <v>20</v>
      </c>
      <c r="I1173" t="s">
        <v>86</v>
      </c>
      <c r="J1173" t="s">
        <v>49</v>
      </c>
      <c r="K1173" s="4">
        <v>381.04</v>
      </c>
      <c r="L1173" t="s">
        <v>2741</v>
      </c>
      <c r="M1173" s="1">
        <v>46447</v>
      </c>
      <c r="N1173" t="s">
        <v>75</v>
      </c>
      <c r="O1173" t="s">
        <v>25</v>
      </c>
    </row>
    <row r="1174" spans="1:15" x14ac:dyDescent="0.25">
      <c r="A1174" t="s">
        <v>1987</v>
      </c>
      <c r="B1174" t="s">
        <v>43</v>
      </c>
      <c r="C1174">
        <v>1997</v>
      </c>
      <c r="D1174" t="s">
        <v>17</v>
      </c>
      <c r="E1174" t="s">
        <v>104</v>
      </c>
      <c r="F1174" t="s">
        <v>539</v>
      </c>
      <c r="G1174">
        <v>100</v>
      </c>
      <c r="H1174" t="s">
        <v>38</v>
      </c>
      <c r="I1174" t="s">
        <v>91</v>
      </c>
      <c r="J1174" t="s">
        <v>101</v>
      </c>
      <c r="K1174" s="4">
        <v>162.79</v>
      </c>
      <c r="L1174" t="s">
        <v>2742</v>
      </c>
      <c r="M1174" s="1">
        <v>46888</v>
      </c>
      <c r="N1174" t="s">
        <v>75</v>
      </c>
      <c r="O1174" t="s">
        <v>33</v>
      </c>
    </row>
    <row r="1175" spans="1:15" x14ac:dyDescent="0.25">
      <c r="A1175" t="s">
        <v>2743</v>
      </c>
      <c r="B1175" t="s">
        <v>98</v>
      </c>
      <c r="C1175">
        <v>2000</v>
      </c>
      <c r="D1175" t="s">
        <v>108</v>
      </c>
      <c r="E1175" t="s">
        <v>119</v>
      </c>
      <c r="F1175" t="s">
        <v>2557</v>
      </c>
      <c r="G1175">
        <v>600</v>
      </c>
      <c r="H1175" t="s">
        <v>85</v>
      </c>
      <c r="I1175" t="s">
        <v>80</v>
      </c>
      <c r="J1175" t="s">
        <v>22</v>
      </c>
      <c r="K1175" s="4">
        <v>181.54</v>
      </c>
      <c r="L1175" t="s">
        <v>2744</v>
      </c>
      <c r="M1175" s="1">
        <v>46876</v>
      </c>
      <c r="N1175" t="s">
        <v>41</v>
      </c>
      <c r="O1175" t="s">
        <v>25</v>
      </c>
    </row>
    <row r="1176" spans="1:15" x14ac:dyDescent="0.25">
      <c r="A1176" t="s">
        <v>2745</v>
      </c>
      <c r="B1176" t="s">
        <v>138</v>
      </c>
      <c r="C1176">
        <v>2020</v>
      </c>
      <c r="D1176" t="s">
        <v>95</v>
      </c>
      <c r="E1176" t="s">
        <v>116</v>
      </c>
      <c r="F1176" t="s">
        <v>162</v>
      </c>
      <c r="G1176">
        <v>170</v>
      </c>
      <c r="H1176" t="s">
        <v>29</v>
      </c>
      <c r="I1176" t="s">
        <v>80</v>
      </c>
      <c r="J1176" t="s">
        <v>101</v>
      </c>
      <c r="K1176" s="4">
        <v>111.85</v>
      </c>
      <c r="L1176" t="s">
        <v>2746</v>
      </c>
      <c r="M1176" s="1">
        <v>46266</v>
      </c>
      <c r="N1176" t="s">
        <v>24</v>
      </c>
      <c r="O1176" t="s">
        <v>33</v>
      </c>
    </row>
    <row r="1177" spans="1:15" x14ac:dyDescent="0.25">
      <c r="A1177" t="s">
        <v>2747</v>
      </c>
      <c r="B1177" t="s">
        <v>53</v>
      </c>
      <c r="C1177">
        <v>2003</v>
      </c>
      <c r="D1177" t="s">
        <v>95</v>
      </c>
      <c r="E1177" t="s">
        <v>116</v>
      </c>
      <c r="F1177" t="s">
        <v>2748</v>
      </c>
      <c r="G1177">
        <v>520</v>
      </c>
      <c r="H1177" t="s">
        <v>29</v>
      </c>
      <c r="I1177" t="s">
        <v>39</v>
      </c>
      <c r="J1177" t="s">
        <v>49</v>
      </c>
      <c r="K1177" s="4">
        <v>56.8</v>
      </c>
      <c r="L1177" t="s">
        <v>2749</v>
      </c>
      <c r="M1177" s="1">
        <v>45923</v>
      </c>
      <c r="N1177" t="s">
        <v>41</v>
      </c>
      <c r="O1177" t="s">
        <v>33</v>
      </c>
    </row>
    <row r="1178" spans="1:15" x14ac:dyDescent="0.25">
      <c r="A1178" t="s">
        <v>2750</v>
      </c>
      <c r="B1178" t="s">
        <v>53</v>
      </c>
      <c r="C1178">
        <v>2006</v>
      </c>
      <c r="D1178" t="s">
        <v>36</v>
      </c>
      <c r="E1178" t="s">
        <v>78</v>
      </c>
      <c r="F1178" t="s">
        <v>1813</v>
      </c>
      <c r="G1178">
        <v>220</v>
      </c>
      <c r="H1178" t="s">
        <v>38</v>
      </c>
      <c r="I1178" t="s">
        <v>73</v>
      </c>
      <c r="J1178" t="s">
        <v>146</v>
      </c>
      <c r="K1178" s="4">
        <v>56.25</v>
      </c>
      <c r="L1178" t="s">
        <v>2751</v>
      </c>
      <c r="M1178" s="1">
        <v>45957</v>
      </c>
      <c r="N1178" t="s">
        <v>75</v>
      </c>
      <c r="O1178" t="s">
        <v>25</v>
      </c>
    </row>
    <row r="1179" spans="1:15" x14ac:dyDescent="0.25">
      <c r="A1179" t="s">
        <v>2752</v>
      </c>
      <c r="B1179" t="s">
        <v>43</v>
      </c>
      <c r="C1179">
        <v>1992</v>
      </c>
      <c r="D1179" t="s">
        <v>83</v>
      </c>
      <c r="E1179" t="s">
        <v>54</v>
      </c>
      <c r="F1179" t="s">
        <v>929</v>
      </c>
      <c r="G1179">
        <v>580</v>
      </c>
      <c r="H1179" t="s">
        <v>85</v>
      </c>
      <c r="I1179" t="s">
        <v>21</v>
      </c>
      <c r="J1179" t="s">
        <v>146</v>
      </c>
      <c r="K1179" s="4">
        <v>250.52</v>
      </c>
      <c r="L1179" t="s">
        <v>2753</v>
      </c>
      <c r="M1179" s="1">
        <v>46958</v>
      </c>
      <c r="N1179" t="s">
        <v>41</v>
      </c>
      <c r="O1179" t="s">
        <v>25</v>
      </c>
    </row>
    <row r="1180" spans="1:15" x14ac:dyDescent="0.25">
      <c r="A1180" t="s">
        <v>2754</v>
      </c>
      <c r="B1180" t="s">
        <v>43</v>
      </c>
      <c r="C1180">
        <v>2006</v>
      </c>
      <c r="D1180" t="s">
        <v>95</v>
      </c>
      <c r="E1180" t="s">
        <v>72</v>
      </c>
      <c r="F1180" t="s">
        <v>2755</v>
      </c>
      <c r="G1180">
        <v>700</v>
      </c>
      <c r="H1180" t="s">
        <v>47</v>
      </c>
      <c r="I1180" t="s">
        <v>48</v>
      </c>
      <c r="J1180" t="s">
        <v>125</v>
      </c>
      <c r="K1180" s="4">
        <v>212.8</v>
      </c>
      <c r="L1180" t="s">
        <v>2756</v>
      </c>
      <c r="M1180" s="1">
        <v>46105</v>
      </c>
      <c r="N1180" t="s">
        <v>41</v>
      </c>
      <c r="O1180" t="s">
        <v>51</v>
      </c>
    </row>
    <row r="1181" spans="1:15" x14ac:dyDescent="0.25">
      <c r="A1181" t="s">
        <v>2757</v>
      </c>
      <c r="B1181" t="s">
        <v>134</v>
      </c>
      <c r="C1181">
        <v>2003</v>
      </c>
      <c r="D1181" t="s">
        <v>83</v>
      </c>
      <c r="E1181" t="s">
        <v>99</v>
      </c>
      <c r="F1181" t="s">
        <v>2758</v>
      </c>
      <c r="G1181">
        <v>540</v>
      </c>
      <c r="H1181" t="s">
        <v>38</v>
      </c>
      <c r="I1181" t="s">
        <v>151</v>
      </c>
      <c r="J1181" t="s">
        <v>125</v>
      </c>
      <c r="K1181" s="4">
        <v>205.75</v>
      </c>
      <c r="L1181" t="s">
        <v>2759</v>
      </c>
      <c r="M1181" s="1">
        <v>45974</v>
      </c>
      <c r="N1181" t="s">
        <v>24</v>
      </c>
      <c r="O1181" t="s">
        <v>25</v>
      </c>
    </row>
    <row r="1182" spans="1:15" x14ac:dyDescent="0.25">
      <c r="A1182" t="s">
        <v>2760</v>
      </c>
      <c r="B1182" t="s">
        <v>77</v>
      </c>
      <c r="C1182">
        <v>2022</v>
      </c>
      <c r="D1182" t="s">
        <v>95</v>
      </c>
      <c r="E1182" t="s">
        <v>78</v>
      </c>
      <c r="F1182" t="s">
        <v>180</v>
      </c>
      <c r="G1182">
        <v>160</v>
      </c>
      <c r="H1182" t="s">
        <v>85</v>
      </c>
      <c r="I1182" t="s">
        <v>86</v>
      </c>
      <c r="J1182" t="s">
        <v>49</v>
      </c>
      <c r="K1182" s="4">
        <v>31.92</v>
      </c>
      <c r="L1182" t="s">
        <v>2761</v>
      </c>
      <c r="M1182" s="1">
        <v>45950</v>
      </c>
      <c r="N1182" t="s">
        <v>41</v>
      </c>
      <c r="O1182" t="s">
        <v>51</v>
      </c>
    </row>
    <row r="1183" spans="1:15" x14ac:dyDescent="0.25">
      <c r="A1183" t="s">
        <v>2762</v>
      </c>
      <c r="B1183" t="s">
        <v>134</v>
      </c>
      <c r="C1183">
        <v>1992</v>
      </c>
      <c r="D1183" t="s">
        <v>71</v>
      </c>
      <c r="E1183" t="s">
        <v>60</v>
      </c>
      <c r="F1183" t="s">
        <v>135</v>
      </c>
      <c r="G1183">
        <v>420</v>
      </c>
      <c r="H1183" t="s">
        <v>56</v>
      </c>
      <c r="I1183" t="s">
        <v>80</v>
      </c>
      <c r="J1183" t="s">
        <v>146</v>
      </c>
      <c r="K1183" s="4">
        <v>88.17</v>
      </c>
      <c r="L1183" t="s">
        <v>2763</v>
      </c>
      <c r="M1183" s="1">
        <v>46782</v>
      </c>
      <c r="N1183" t="s">
        <v>75</v>
      </c>
      <c r="O1183" t="s">
        <v>33</v>
      </c>
    </row>
    <row r="1184" spans="1:15" x14ac:dyDescent="0.25">
      <c r="A1184" t="s">
        <v>2764</v>
      </c>
      <c r="B1184" t="s">
        <v>77</v>
      </c>
      <c r="C1184">
        <v>1992</v>
      </c>
      <c r="D1184" t="s">
        <v>108</v>
      </c>
      <c r="E1184" t="s">
        <v>99</v>
      </c>
      <c r="F1184" t="s">
        <v>205</v>
      </c>
      <c r="G1184">
        <v>150</v>
      </c>
      <c r="H1184" t="s">
        <v>29</v>
      </c>
      <c r="I1184" t="s">
        <v>39</v>
      </c>
      <c r="J1184" t="s">
        <v>49</v>
      </c>
      <c r="K1184" s="4">
        <v>299.76</v>
      </c>
      <c r="L1184" t="s">
        <v>2765</v>
      </c>
      <c r="M1184" s="1">
        <v>46252</v>
      </c>
      <c r="N1184" t="s">
        <v>41</v>
      </c>
      <c r="O1184" t="s">
        <v>51</v>
      </c>
    </row>
    <row r="1185" spans="1:15" x14ac:dyDescent="0.25">
      <c r="A1185" t="s">
        <v>2766</v>
      </c>
      <c r="B1185" t="s">
        <v>77</v>
      </c>
      <c r="C1185">
        <v>2019</v>
      </c>
      <c r="D1185" t="s">
        <v>83</v>
      </c>
      <c r="E1185" t="s">
        <v>45</v>
      </c>
      <c r="F1185" t="s">
        <v>67</v>
      </c>
      <c r="G1185">
        <v>100</v>
      </c>
      <c r="H1185" t="s">
        <v>20</v>
      </c>
      <c r="I1185" t="s">
        <v>86</v>
      </c>
      <c r="J1185" t="s">
        <v>125</v>
      </c>
      <c r="K1185" s="4">
        <v>388.83</v>
      </c>
      <c r="L1185" t="s">
        <v>2767</v>
      </c>
      <c r="M1185" s="1">
        <v>46892</v>
      </c>
      <c r="N1185" t="s">
        <v>41</v>
      </c>
      <c r="O1185" t="s">
        <v>25</v>
      </c>
    </row>
    <row r="1186" spans="1:15" x14ac:dyDescent="0.25">
      <c r="A1186" t="s">
        <v>2768</v>
      </c>
      <c r="B1186" t="s">
        <v>16</v>
      </c>
      <c r="C1186">
        <v>2017</v>
      </c>
      <c r="D1186" t="s">
        <v>17</v>
      </c>
      <c r="E1186" t="s">
        <v>78</v>
      </c>
      <c r="F1186" t="s">
        <v>79</v>
      </c>
      <c r="G1186">
        <v>730</v>
      </c>
      <c r="H1186" t="s">
        <v>85</v>
      </c>
      <c r="I1186" t="s">
        <v>91</v>
      </c>
      <c r="J1186" t="s">
        <v>101</v>
      </c>
      <c r="K1186" s="4">
        <v>169.64</v>
      </c>
      <c r="L1186" t="s">
        <v>2769</v>
      </c>
      <c r="M1186" s="1">
        <v>45902</v>
      </c>
      <c r="N1186" t="s">
        <v>24</v>
      </c>
      <c r="O1186" t="s">
        <v>25</v>
      </c>
    </row>
    <row r="1187" spans="1:15" x14ac:dyDescent="0.25">
      <c r="A1187" t="s">
        <v>2770</v>
      </c>
      <c r="B1187" t="s">
        <v>59</v>
      </c>
      <c r="C1187">
        <v>1991</v>
      </c>
      <c r="D1187" t="s">
        <v>95</v>
      </c>
      <c r="E1187" t="s">
        <v>78</v>
      </c>
      <c r="F1187" t="s">
        <v>162</v>
      </c>
      <c r="G1187">
        <v>800</v>
      </c>
      <c r="H1187" t="s">
        <v>56</v>
      </c>
      <c r="I1187" t="s">
        <v>30</v>
      </c>
      <c r="J1187" t="s">
        <v>101</v>
      </c>
      <c r="K1187" s="4">
        <v>209.99</v>
      </c>
      <c r="L1187" t="s">
        <v>2771</v>
      </c>
      <c r="M1187" s="1">
        <v>46710</v>
      </c>
      <c r="N1187" t="s">
        <v>24</v>
      </c>
      <c r="O1187" t="s">
        <v>33</v>
      </c>
    </row>
    <row r="1188" spans="1:15" x14ac:dyDescent="0.25">
      <c r="A1188" t="s">
        <v>2772</v>
      </c>
      <c r="B1188" t="s">
        <v>134</v>
      </c>
      <c r="C1188">
        <v>1991</v>
      </c>
      <c r="D1188" t="s">
        <v>27</v>
      </c>
      <c r="E1188" t="s">
        <v>54</v>
      </c>
      <c r="F1188" t="s">
        <v>2773</v>
      </c>
      <c r="G1188">
        <v>240</v>
      </c>
      <c r="H1188" t="s">
        <v>85</v>
      </c>
      <c r="I1188" t="s">
        <v>86</v>
      </c>
      <c r="J1188" t="s">
        <v>125</v>
      </c>
      <c r="K1188" s="4">
        <v>280.27</v>
      </c>
      <c r="L1188" t="s">
        <v>2774</v>
      </c>
      <c r="M1188" s="1">
        <v>46469</v>
      </c>
      <c r="N1188" t="s">
        <v>75</v>
      </c>
      <c r="O1188" t="s">
        <v>25</v>
      </c>
    </row>
    <row r="1189" spans="1:15" x14ac:dyDescent="0.25">
      <c r="A1189" t="s">
        <v>2775</v>
      </c>
      <c r="B1189" t="s">
        <v>134</v>
      </c>
      <c r="C1189">
        <v>1994</v>
      </c>
      <c r="D1189" t="s">
        <v>17</v>
      </c>
      <c r="E1189" t="s">
        <v>45</v>
      </c>
      <c r="F1189" t="s">
        <v>162</v>
      </c>
      <c r="G1189">
        <v>950</v>
      </c>
      <c r="H1189" t="s">
        <v>85</v>
      </c>
      <c r="I1189" t="s">
        <v>151</v>
      </c>
      <c r="J1189" t="s">
        <v>146</v>
      </c>
      <c r="K1189" s="4">
        <v>221.32</v>
      </c>
      <c r="L1189" t="s">
        <v>2776</v>
      </c>
      <c r="M1189" s="1">
        <v>46113</v>
      </c>
      <c r="N1189" t="s">
        <v>24</v>
      </c>
      <c r="O1189" t="s">
        <v>33</v>
      </c>
    </row>
    <row r="1190" spans="1:15" x14ac:dyDescent="0.25">
      <c r="A1190" t="s">
        <v>2777</v>
      </c>
      <c r="B1190" t="s">
        <v>138</v>
      </c>
      <c r="C1190">
        <v>2005</v>
      </c>
      <c r="D1190" t="s">
        <v>66</v>
      </c>
      <c r="E1190" t="s">
        <v>54</v>
      </c>
      <c r="F1190" t="s">
        <v>139</v>
      </c>
      <c r="G1190">
        <v>550</v>
      </c>
      <c r="H1190" t="s">
        <v>20</v>
      </c>
      <c r="I1190" t="s">
        <v>30</v>
      </c>
      <c r="J1190" t="s">
        <v>110</v>
      </c>
      <c r="K1190" s="4">
        <v>158.72</v>
      </c>
      <c r="L1190" t="s">
        <v>2778</v>
      </c>
      <c r="M1190" s="1">
        <v>46893</v>
      </c>
      <c r="N1190" t="s">
        <v>41</v>
      </c>
      <c r="O1190" t="s">
        <v>33</v>
      </c>
    </row>
    <row r="1191" spans="1:15" x14ac:dyDescent="0.25">
      <c r="A1191" t="s">
        <v>2779</v>
      </c>
      <c r="B1191" t="s">
        <v>77</v>
      </c>
      <c r="C1191">
        <v>2012</v>
      </c>
      <c r="D1191" t="s">
        <v>83</v>
      </c>
      <c r="E1191" t="s">
        <v>99</v>
      </c>
      <c r="F1191" t="s">
        <v>46</v>
      </c>
      <c r="G1191">
        <v>70</v>
      </c>
      <c r="H1191" t="s">
        <v>47</v>
      </c>
      <c r="I1191" t="s">
        <v>151</v>
      </c>
      <c r="J1191" t="s">
        <v>121</v>
      </c>
      <c r="K1191" s="4">
        <v>202.91</v>
      </c>
      <c r="L1191" t="s">
        <v>2780</v>
      </c>
      <c r="M1191" s="1">
        <v>45881</v>
      </c>
      <c r="N1191" t="s">
        <v>24</v>
      </c>
      <c r="O1191" t="s">
        <v>33</v>
      </c>
    </row>
    <row r="1192" spans="1:15" x14ac:dyDescent="0.25">
      <c r="A1192" t="s">
        <v>2781</v>
      </c>
      <c r="B1192" t="s">
        <v>16</v>
      </c>
      <c r="C1192">
        <v>1991</v>
      </c>
      <c r="D1192" t="s">
        <v>17</v>
      </c>
      <c r="E1192" t="s">
        <v>116</v>
      </c>
      <c r="F1192" t="s">
        <v>208</v>
      </c>
      <c r="G1192">
        <v>200</v>
      </c>
      <c r="H1192" t="s">
        <v>56</v>
      </c>
      <c r="I1192" t="s">
        <v>80</v>
      </c>
      <c r="J1192" t="s">
        <v>49</v>
      </c>
      <c r="K1192" s="4">
        <v>475.11</v>
      </c>
      <c r="L1192" t="s">
        <v>2782</v>
      </c>
      <c r="M1192" s="1">
        <v>46007</v>
      </c>
      <c r="N1192" t="s">
        <v>75</v>
      </c>
      <c r="O1192" t="s">
        <v>25</v>
      </c>
    </row>
    <row r="1193" spans="1:15" x14ac:dyDescent="0.25">
      <c r="A1193" t="s">
        <v>996</v>
      </c>
      <c r="B1193" t="s">
        <v>138</v>
      </c>
      <c r="C1193">
        <v>2011</v>
      </c>
      <c r="D1193" t="s">
        <v>44</v>
      </c>
      <c r="E1193" t="s">
        <v>104</v>
      </c>
      <c r="F1193" t="s">
        <v>2783</v>
      </c>
      <c r="G1193">
        <v>320</v>
      </c>
      <c r="H1193" t="s">
        <v>20</v>
      </c>
      <c r="I1193" t="s">
        <v>186</v>
      </c>
      <c r="J1193" t="s">
        <v>146</v>
      </c>
      <c r="K1193" s="4">
        <v>176.5</v>
      </c>
      <c r="L1193" t="s">
        <v>2784</v>
      </c>
      <c r="M1193" s="1">
        <v>46458</v>
      </c>
      <c r="N1193" t="s">
        <v>24</v>
      </c>
      <c r="O1193" t="s">
        <v>51</v>
      </c>
    </row>
    <row r="1194" spans="1:15" x14ac:dyDescent="0.25">
      <c r="A1194" t="s">
        <v>760</v>
      </c>
      <c r="B1194" t="s">
        <v>35</v>
      </c>
      <c r="C1194">
        <v>1990</v>
      </c>
      <c r="D1194" t="s">
        <v>66</v>
      </c>
      <c r="E1194" t="s">
        <v>45</v>
      </c>
      <c r="F1194" t="s">
        <v>208</v>
      </c>
      <c r="G1194">
        <v>730</v>
      </c>
      <c r="H1194" t="s">
        <v>62</v>
      </c>
      <c r="I1194" t="s">
        <v>91</v>
      </c>
      <c r="J1194" t="s">
        <v>31</v>
      </c>
      <c r="K1194" s="4">
        <v>100.84</v>
      </c>
      <c r="L1194" t="s">
        <v>2785</v>
      </c>
      <c r="M1194" s="1">
        <v>46428</v>
      </c>
      <c r="N1194" t="s">
        <v>41</v>
      </c>
      <c r="O1194" t="s">
        <v>33</v>
      </c>
    </row>
    <row r="1195" spans="1:15" x14ac:dyDescent="0.25">
      <c r="A1195" t="s">
        <v>2786</v>
      </c>
      <c r="B1195" t="s">
        <v>77</v>
      </c>
      <c r="C1195">
        <v>2013</v>
      </c>
      <c r="D1195" t="s">
        <v>83</v>
      </c>
      <c r="E1195" t="s">
        <v>104</v>
      </c>
      <c r="F1195" t="s">
        <v>1488</v>
      </c>
      <c r="G1195">
        <v>330</v>
      </c>
      <c r="H1195" t="s">
        <v>47</v>
      </c>
      <c r="I1195" t="s">
        <v>80</v>
      </c>
      <c r="J1195" t="s">
        <v>92</v>
      </c>
      <c r="K1195" s="4">
        <v>254.49</v>
      </c>
      <c r="L1195" t="s">
        <v>2787</v>
      </c>
      <c r="M1195" s="1">
        <v>46317</v>
      </c>
      <c r="N1195" t="s">
        <v>75</v>
      </c>
      <c r="O1195" t="s">
        <v>51</v>
      </c>
    </row>
    <row r="1196" spans="1:15" x14ac:dyDescent="0.25">
      <c r="A1196" t="s">
        <v>2788</v>
      </c>
      <c r="B1196" t="s">
        <v>134</v>
      </c>
      <c r="C1196">
        <v>1999</v>
      </c>
      <c r="D1196" t="s">
        <v>36</v>
      </c>
      <c r="E1196" t="s">
        <v>78</v>
      </c>
      <c r="F1196" t="s">
        <v>2789</v>
      </c>
      <c r="G1196">
        <v>290</v>
      </c>
      <c r="H1196" t="s">
        <v>85</v>
      </c>
      <c r="I1196" t="s">
        <v>39</v>
      </c>
      <c r="J1196" t="s">
        <v>31</v>
      </c>
      <c r="K1196" s="4">
        <v>131.75</v>
      </c>
      <c r="L1196" t="s">
        <v>2790</v>
      </c>
      <c r="M1196" s="1">
        <v>46494</v>
      </c>
      <c r="N1196" t="s">
        <v>41</v>
      </c>
      <c r="O1196" t="s">
        <v>33</v>
      </c>
    </row>
    <row r="1197" spans="1:15" x14ac:dyDescent="0.25">
      <c r="A1197" t="s">
        <v>2791</v>
      </c>
      <c r="B1197" t="s">
        <v>98</v>
      </c>
      <c r="C1197">
        <v>2015</v>
      </c>
      <c r="D1197" t="s">
        <v>17</v>
      </c>
      <c r="E1197" t="s">
        <v>45</v>
      </c>
      <c r="F1197" t="s">
        <v>236</v>
      </c>
      <c r="G1197">
        <v>20</v>
      </c>
      <c r="H1197" t="s">
        <v>85</v>
      </c>
      <c r="I1197" t="s">
        <v>86</v>
      </c>
      <c r="J1197" t="s">
        <v>49</v>
      </c>
      <c r="K1197" s="4">
        <v>266.38</v>
      </c>
      <c r="L1197" t="s">
        <v>2792</v>
      </c>
      <c r="M1197" s="1">
        <v>46277</v>
      </c>
      <c r="N1197" t="s">
        <v>75</v>
      </c>
      <c r="O1197" t="s">
        <v>51</v>
      </c>
    </row>
    <row r="1198" spans="1:15" x14ac:dyDescent="0.25">
      <c r="A1198" t="s">
        <v>272</v>
      </c>
      <c r="B1198" t="s">
        <v>138</v>
      </c>
      <c r="C1198">
        <v>1992</v>
      </c>
      <c r="D1198" t="s">
        <v>71</v>
      </c>
      <c r="E1198" t="s">
        <v>119</v>
      </c>
      <c r="F1198" t="s">
        <v>1467</v>
      </c>
      <c r="G1198">
        <v>910</v>
      </c>
      <c r="H1198" t="s">
        <v>85</v>
      </c>
      <c r="I1198" t="s">
        <v>21</v>
      </c>
      <c r="J1198" t="s">
        <v>49</v>
      </c>
      <c r="K1198" s="4">
        <v>294.19</v>
      </c>
      <c r="L1198" t="s">
        <v>2793</v>
      </c>
      <c r="M1198" s="1">
        <v>46005</v>
      </c>
      <c r="N1198" t="s">
        <v>75</v>
      </c>
      <c r="O1198" t="s">
        <v>33</v>
      </c>
    </row>
    <row r="1199" spans="1:15" x14ac:dyDescent="0.25">
      <c r="A1199" t="s">
        <v>2794</v>
      </c>
      <c r="B1199" t="s">
        <v>134</v>
      </c>
      <c r="C1199">
        <v>2023</v>
      </c>
      <c r="D1199" t="s">
        <v>44</v>
      </c>
      <c r="E1199" t="s">
        <v>78</v>
      </c>
      <c r="F1199" t="s">
        <v>381</v>
      </c>
      <c r="G1199">
        <v>700</v>
      </c>
      <c r="H1199" t="s">
        <v>62</v>
      </c>
      <c r="I1199" t="s">
        <v>86</v>
      </c>
      <c r="J1199" t="s">
        <v>101</v>
      </c>
      <c r="K1199" s="4">
        <v>81.08</v>
      </c>
      <c r="L1199" t="s">
        <v>2795</v>
      </c>
      <c r="M1199" s="1">
        <v>46778</v>
      </c>
      <c r="N1199" t="s">
        <v>24</v>
      </c>
      <c r="O1199" t="s">
        <v>33</v>
      </c>
    </row>
    <row r="1200" spans="1:15" x14ac:dyDescent="0.25">
      <c r="A1200" t="s">
        <v>182</v>
      </c>
      <c r="B1200" t="s">
        <v>134</v>
      </c>
      <c r="C1200">
        <v>2023</v>
      </c>
      <c r="D1200" t="s">
        <v>36</v>
      </c>
      <c r="E1200" t="s">
        <v>99</v>
      </c>
      <c r="F1200" t="s">
        <v>2796</v>
      </c>
      <c r="G1200">
        <v>10</v>
      </c>
      <c r="H1200" t="s">
        <v>38</v>
      </c>
      <c r="I1200" t="s">
        <v>186</v>
      </c>
      <c r="J1200" t="s">
        <v>121</v>
      </c>
      <c r="K1200" s="4">
        <v>466.74</v>
      </c>
      <c r="L1200" t="s">
        <v>2797</v>
      </c>
      <c r="M1200" s="1">
        <v>46767</v>
      </c>
      <c r="N1200" t="s">
        <v>41</v>
      </c>
      <c r="O1200" t="s">
        <v>51</v>
      </c>
    </row>
    <row r="1201" spans="1:15" x14ac:dyDescent="0.25">
      <c r="A1201" t="s">
        <v>2798</v>
      </c>
      <c r="B1201" t="s">
        <v>134</v>
      </c>
      <c r="C1201">
        <v>2012</v>
      </c>
      <c r="D1201" t="s">
        <v>66</v>
      </c>
      <c r="E1201" t="s">
        <v>99</v>
      </c>
      <c r="F1201" t="s">
        <v>1113</v>
      </c>
      <c r="G1201">
        <v>830</v>
      </c>
      <c r="H1201" t="s">
        <v>85</v>
      </c>
      <c r="I1201" t="s">
        <v>80</v>
      </c>
      <c r="J1201" t="s">
        <v>22</v>
      </c>
      <c r="K1201" s="4">
        <v>363.24</v>
      </c>
      <c r="L1201" t="s">
        <v>2799</v>
      </c>
      <c r="M1201" s="1">
        <v>46555</v>
      </c>
      <c r="N1201" t="s">
        <v>24</v>
      </c>
      <c r="O1201" t="s">
        <v>25</v>
      </c>
    </row>
    <row r="1202" spans="1:15" x14ac:dyDescent="0.25">
      <c r="A1202" t="s">
        <v>2800</v>
      </c>
      <c r="B1202" t="s">
        <v>35</v>
      </c>
      <c r="C1202">
        <v>2013</v>
      </c>
      <c r="D1202" t="s">
        <v>89</v>
      </c>
      <c r="E1202" t="s">
        <v>54</v>
      </c>
      <c r="F1202" t="s">
        <v>79</v>
      </c>
      <c r="G1202">
        <v>490</v>
      </c>
      <c r="H1202" t="s">
        <v>56</v>
      </c>
      <c r="I1202" t="s">
        <v>39</v>
      </c>
      <c r="J1202" t="s">
        <v>146</v>
      </c>
      <c r="K1202" s="4">
        <v>256.77</v>
      </c>
      <c r="L1202" t="s">
        <v>2801</v>
      </c>
      <c r="M1202" s="1">
        <v>46826</v>
      </c>
      <c r="N1202" t="s">
        <v>75</v>
      </c>
      <c r="O1202" t="s">
        <v>33</v>
      </c>
    </row>
    <row r="1203" spans="1:15" x14ac:dyDescent="0.25">
      <c r="A1203" t="s">
        <v>2802</v>
      </c>
      <c r="B1203" t="s">
        <v>43</v>
      </c>
      <c r="C1203">
        <v>1993</v>
      </c>
      <c r="D1203" t="s">
        <v>108</v>
      </c>
      <c r="E1203" t="s">
        <v>45</v>
      </c>
      <c r="F1203" t="s">
        <v>135</v>
      </c>
      <c r="G1203">
        <v>500</v>
      </c>
      <c r="H1203" t="s">
        <v>47</v>
      </c>
      <c r="I1203" t="s">
        <v>21</v>
      </c>
      <c r="J1203" t="s">
        <v>92</v>
      </c>
      <c r="K1203" s="4">
        <v>290.27999999999997</v>
      </c>
      <c r="L1203" t="s">
        <v>2803</v>
      </c>
      <c r="M1203" s="1">
        <v>46601</v>
      </c>
      <c r="N1203" t="s">
        <v>24</v>
      </c>
      <c r="O1203" t="s">
        <v>25</v>
      </c>
    </row>
    <row r="1204" spans="1:15" x14ac:dyDescent="0.25">
      <c r="A1204" t="s">
        <v>2804</v>
      </c>
      <c r="B1204" t="s">
        <v>16</v>
      </c>
      <c r="C1204">
        <v>1990</v>
      </c>
      <c r="D1204" t="s">
        <v>66</v>
      </c>
      <c r="E1204" t="s">
        <v>60</v>
      </c>
      <c r="F1204" t="s">
        <v>2805</v>
      </c>
      <c r="G1204">
        <v>410</v>
      </c>
      <c r="H1204" t="s">
        <v>62</v>
      </c>
      <c r="I1204" t="s">
        <v>48</v>
      </c>
      <c r="J1204" t="s">
        <v>146</v>
      </c>
      <c r="K1204" s="4">
        <v>200.6</v>
      </c>
      <c r="L1204" t="s">
        <v>2806</v>
      </c>
      <c r="M1204" s="1">
        <v>46434</v>
      </c>
      <c r="N1204" t="s">
        <v>24</v>
      </c>
      <c r="O1204" t="s">
        <v>33</v>
      </c>
    </row>
    <row r="1205" spans="1:15" x14ac:dyDescent="0.25">
      <c r="A1205" t="s">
        <v>2807</v>
      </c>
      <c r="B1205" t="s">
        <v>70</v>
      </c>
      <c r="C1205">
        <v>2007</v>
      </c>
      <c r="D1205" t="s">
        <v>71</v>
      </c>
      <c r="E1205" t="s">
        <v>60</v>
      </c>
      <c r="F1205" t="s">
        <v>296</v>
      </c>
      <c r="G1205">
        <v>460</v>
      </c>
      <c r="H1205" t="s">
        <v>47</v>
      </c>
      <c r="I1205" t="s">
        <v>73</v>
      </c>
      <c r="J1205" t="s">
        <v>63</v>
      </c>
      <c r="K1205" s="4">
        <v>316.33999999999997</v>
      </c>
      <c r="L1205" t="s">
        <v>2808</v>
      </c>
      <c r="M1205" s="1">
        <v>46831</v>
      </c>
      <c r="N1205" t="s">
        <v>75</v>
      </c>
      <c r="O1205" t="s">
        <v>51</v>
      </c>
    </row>
    <row r="1206" spans="1:15" x14ac:dyDescent="0.25">
      <c r="A1206" t="s">
        <v>1414</v>
      </c>
      <c r="B1206" t="s">
        <v>16</v>
      </c>
      <c r="C1206">
        <v>2021</v>
      </c>
      <c r="D1206" t="s">
        <v>36</v>
      </c>
      <c r="E1206" t="s">
        <v>18</v>
      </c>
      <c r="F1206" t="s">
        <v>255</v>
      </c>
      <c r="G1206">
        <v>880</v>
      </c>
      <c r="H1206" t="s">
        <v>20</v>
      </c>
      <c r="I1206" t="s">
        <v>186</v>
      </c>
      <c r="J1206" t="s">
        <v>49</v>
      </c>
      <c r="K1206" s="4">
        <v>132.80000000000001</v>
      </c>
      <c r="L1206" t="s">
        <v>2809</v>
      </c>
      <c r="M1206" s="1">
        <v>46863</v>
      </c>
      <c r="N1206" t="s">
        <v>41</v>
      </c>
      <c r="O1206" t="s">
        <v>33</v>
      </c>
    </row>
    <row r="1207" spans="1:15" x14ac:dyDescent="0.25">
      <c r="A1207" t="s">
        <v>2810</v>
      </c>
      <c r="B1207" t="s">
        <v>70</v>
      </c>
      <c r="C1207">
        <v>2007</v>
      </c>
      <c r="D1207" t="s">
        <v>83</v>
      </c>
      <c r="E1207" t="s">
        <v>54</v>
      </c>
      <c r="F1207" t="s">
        <v>2811</v>
      </c>
      <c r="G1207">
        <v>710</v>
      </c>
      <c r="H1207" t="s">
        <v>85</v>
      </c>
      <c r="I1207" t="s">
        <v>48</v>
      </c>
      <c r="J1207" t="s">
        <v>101</v>
      </c>
      <c r="K1207" s="4">
        <v>278.20999999999998</v>
      </c>
      <c r="L1207" t="s">
        <v>2812</v>
      </c>
      <c r="M1207" s="1">
        <v>46404</v>
      </c>
      <c r="N1207" t="s">
        <v>41</v>
      </c>
      <c r="O1207" t="s">
        <v>51</v>
      </c>
    </row>
    <row r="1208" spans="1:15" x14ac:dyDescent="0.25">
      <c r="A1208" t="s">
        <v>943</v>
      </c>
      <c r="B1208" t="s">
        <v>35</v>
      </c>
      <c r="C1208">
        <v>2010</v>
      </c>
      <c r="D1208" t="s">
        <v>36</v>
      </c>
      <c r="E1208" t="s">
        <v>18</v>
      </c>
      <c r="F1208" t="s">
        <v>139</v>
      </c>
      <c r="G1208">
        <v>610</v>
      </c>
      <c r="H1208" t="s">
        <v>29</v>
      </c>
      <c r="I1208" t="s">
        <v>21</v>
      </c>
      <c r="J1208" t="s">
        <v>121</v>
      </c>
      <c r="K1208" s="4">
        <v>80.53</v>
      </c>
      <c r="L1208" t="s">
        <v>2813</v>
      </c>
      <c r="M1208" s="1">
        <v>46161</v>
      </c>
      <c r="N1208" t="s">
        <v>41</v>
      </c>
      <c r="O1208" t="s">
        <v>51</v>
      </c>
    </row>
    <row r="1209" spans="1:15" x14ac:dyDescent="0.25">
      <c r="A1209" t="s">
        <v>2814</v>
      </c>
      <c r="B1209" t="s">
        <v>98</v>
      </c>
      <c r="C1209">
        <v>2012</v>
      </c>
      <c r="D1209" t="s">
        <v>44</v>
      </c>
      <c r="E1209" t="s">
        <v>78</v>
      </c>
      <c r="F1209" t="s">
        <v>2815</v>
      </c>
      <c r="G1209">
        <v>660</v>
      </c>
      <c r="H1209" t="s">
        <v>38</v>
      </c>
      <c r="I1209" t="s">
        <v>80</v>
      </c>
      <c r="J1209" t="s">
        <v>101</v>
      </c>
      <c r="K1209" s="4">
        <v>335.51</v>
      </c>
      <c r="L1209" t="s">
        <v>2816</v>
      </c>
      <c r="M1209" s="1">
        <v>45969</v>
      </c>
      <c r="N1209" t="s">
        <v>41</v>
      </c>
      <c r="O1209" t="s">
        <v>25</v>
      </c>
    </row>
    <row r="1210" spans="1:15" x14ac:dyDescent="0.25">
      <c r="A1210" t="s">
        <v>2817</v>
      </c>
      <c r="B1210" t="s">
        <v>98</v>
      </c>
      <c r="C1210">
        <v>2022</v>
      </c>
      <c r="D1210" t="s">
        <v>44</v>
      </c>
      <c r="E1210" t="s">
        <v>18</v>
      </c>
      <c r="F1210" t="s">
        <v>2297</v>
      </c>
      <c r="G1210">
        <v>740</v>
      </c>
      <c r="H1210" t="s">
        <v>29</v>
      </c>
      <c r="I1210" t="s">
        <v>39</v>
      </c>
      <c r="J1210" t="s">
        <v>110</v>
      </c>
      <c r="K1210" s="4">
        <v>13.42</v>
      </c>
      <c r="L1210" t="s">
        <v>2818</v>
      </c>
      <c r="M1210" s="1">
        <v>46352</v>
      </c>
      <c r="N1210" t="s">
        <v>75</v>
      </c>
      <c r="O1210" t="s">
        <v>33</v>
      </c>
    </row>
    <row r="1211" spans="1:15" x14ac:dyDescent="0.25">
      <c r="A1211" t="s">
        <v>2819</v>
      </c>
      <c r="B1211" t="s">
        <v>59</v>
      </c>
      <c r="C1211">
        <v>2000</v>
      </c>
      <c r="D1211" t="s">
        <v>71</v>
      </c>
      <c r="E1211" t="s">
        <v>104</v>
      </c>
      <c r="F1211" t="s">
        <v>139</v>
      </c>
      <c r="G1211">
        <v>820</v>
      </c>
      <c r="H1211" t="s">
        <v>47</v>
      </c>
      <c r="I1211" t="s">
        <v>30</v>
      </c>
      <c r="J1211" t="s">
        <v>22</v>
      </c>
      <c r="K1211" s="4">
        <v>290.73</v>
      </c>
      <c r="L1211" t="s">
        <v>2820</v>
      </c>
      <c r="M1211" s="1">
        <v>46758</v>
      </c>
      <c r="N1211" t="s">
        <v>75</v>
      </c>
      <c r="O1211" t="s">
        <v>51</v>
      </c>
    </row>
    <row r="1212" spans="1:15" x14ac:dyDescent="0.25">
      <c r="A1212" t="s">
        <v>2821</v>
      </c>
      <c r="B1212" t="s">
        <v>35</v>
      </c>
      <c r="C1212">
        <v>2000</v>
      </c>
      <c r="D1212" t="s">
        <v>36</v>
      </c>
      <c r="E1212" t="s">
        <v>78</v>
      </c>
      <c r="F1212" t="s">
        <v>642</v>
      </c>
      <c r="G1212">
        <v>500</v>
      </c>
      <c r="H1212" t="s">
        <v>62</v>
      </c>
      <c r="I1212" t="s">
        <v>91</v>
      </c>
      <c r="J1212" t="s">
        <v>63</v>
      </c>
      <c r="K1212" s="4">
        <v>237.69</v>
      </c>
      <c r="L1212" t="s">
        <v>2822</v>
      </c>
      <c r="M1212" s="1">
        <v>46107</v>
      </c>
      <c r="N1212" t="s">
        <v>41</v>
      </c>
      <c r="O1212" t="s">
        <v>25</v>
      </c>
    </row>
    <row r="1213" spans="1:15" x14ac:dyDescent="0.25">
      <c r="A1213" t="s">
        <v>2823</v>
      </c>
      <c r="B1213" t="s">
        <v>43</v>
      </c>
      <c r="C1213">
        <v>2005</v>
      </c>
      <c r="D1213" t="s">
        <v>95</v>
      </c>
      <c r="E1213" t="s">
        <v>99</v>
      </c>
      <c r="F1213" t="s">
        <v>439</v>
      </c>
      <c r="G1213">
        <v>950</v>
      </c>
      <c r="H1213" t="s">
        <v>38</v>
      </c>
      <c r="I1213" t="s">
        <v>48</v>
      </c>
      <c r="J1213" t="s">
        <v>49</v>
      </c>
      <c r="K1213" s="4">
        <v>437.83</v>
      </c>
      <c r="L1213" t="s">
        <v>2824</v>
      </c>
      <c r="M1213" s="1">
        <v>45921</v>
      </c>
      <c r="N1213" t="s">
        <v>41</v>
      </c>
      <c r="O1213" t="s">
        <v>25</v>
      </c>
    </row>
    <row r="1214" spans="1:15" x14ac:dyDescent="0.25">
      <c r="A1214" t="s">
        <v>1218</v>
      </c>
      <c r="B1214" t="s">
        <v>16</v>
      </c>
      <c r="C1214">
        <v>2002</v>
      </c>
      <c r="D1214" t="s">
        <v>83</v>
      </c>
      <c r="E1214" t="s">
        <v>116</v>
      </c>
      <c r="F1214" t="s">
        <v>939</v>
      </c>
      <c r="G1214">
        <v>270</v>
      </c>
      <c r="H1214" t="s">
        <v>47</v>
      </c>
      <c r="I1214" t="s">
        <v>91</v>
      </c>
      <c r="J1214" t="s">
        <v>110</v>
      </c>
      <c r="K1214" s="4">
        <v>433.17</v>
      </c>
      <c r="L1214" t="s">
        <v>2825</v>
      </c>
      <c r="M1214" s="1">
        <v>46503</v>
      </c>
      <c r="N1214" t="s">
        <v>41</v>
      </c>
      <c r="O1214" t="s">
        <v>25</v>
      </c>
    </row>
    <row r="1215" spans="1:15" x14ac:dyDescent="0.25">
      <c r="A1215" t="s">
        <v>2826</v>
      </c>
      <c r="B1215" t="s">
        <v>16</v>
      </c>
      <c r="C1215">
        <v>2013</v>
      </c>
      <c r="D1215" t="s">
        <v>89</v>
      </c>
      <c r="E1215" t="s">
        <v>119</v>
      </c>
      <c r="F1215" t="s">
        <v>2827</v>
      </c>
      <c r="G1215">
        <v>310</v>
      </c>
      <c r="H1215" t="s">
        <v>20</v>
      </c>
      <c r="I1215" t="s">
        <v>39</v>
      </c>
      <c r="J1215" t="s">
        <v>92</v>
      </c>
      <c r="K1215" s="4">
        <v>88.57</v>
      </c>
      <c r="L1215" t="s">
        <v>2828</v>
      </c>
      <c r="M1215" s="1">
        <v>46259</v>
      </c>
      <c r="N1215" t="s">
        <v>41</v>
      </c>
      <c r="O1215" t="s">
        <v>33</v>
      </c>
    </row>
    <row r="1216" spans="1:15" x14ac:dyDescent="0.25">
      <c r="A1216" t="s">
        <v>2829</v>
      </c>
      <c r="B1216" t="s">
        <v>35</v>
      </c>
      <c r="C1216">
        <v>1996</v>
      </c>
      <c r="D1216" t="s">
        <v>44</v>
      </c>
      <c r="E1216" t="s">
        <v>60</v>
      </c>
      <c r="F1216" t="s">
        <v>647</v>
      </c>
      <c r="G1216">
        <v>10</v>
      </c>
      <c r="H1216" t="s">
        <v>62</v>
      </c>
      <c r="I1216" t="s">
        <v>48</v>
      </c>
      <c r="J1216" t="s">
        <v>121</v>
      </c>
      <c r="K1216" s="4">
        <v>439.7</v>
      </c>
      <c r="L1216" t="s">
        <v>2830</v>
      </c>
      <c r="M1216" s="1">
        <v>46779</v>
      </c>
      <c r="N1216" t="s">
        <v>41</v>
      </c>
      <c r="O1216" t="s">
        <v>25</v>
      </c>
    </row>
    <row r="1217" spans="1:15" x14ac:dyDescent="0.25">
      <c r="A1217" t="s">
        <v>2831</v>
      </c>
      <c r="B1217" t="s">
        <v>138</v>
      </c>
      <c r="C1217">
        <v>2004</v>
      </c>
      <c r="D1217" t="s">
        <v>71</v>
      </c>
      <c r="E1217" t="s">
        <v>116</v>
      </c>
      <c r="F1217" t="s">
        <v>67</v>
      </c>
      <c r="G1217">
        <v>950</v>
      </c>
      <c r="H1217" t="s">
        <v>29</v>
      </c>
      <c r="I1217" t="s">
        <v>21</v>
      </c>
      <c r="J1217" t="s">
        <v>92</v>
      </c>
      <c r="K1217" s="4">
        <v>234.6</v>
      </c>
      <c r="L1217" t="s">
        <v>2832</v>
      </c>
      <c r="M1217" s="1">
        <v>46089</v>
      </c>
      <c r="N1217" t="s">
        <v>24</v>
      </c>
      <c r="O1217" t="s">
        <v>51</v>
      </c>
    </row>
    <row r="1218" spans="1:15" x14ac:dyDescent="0.25">
      <c r="A1218" t="s">
        <v>446</v>
      </c>
      <c r="B1218" t="s">
        <v>53</v>
      </c>
      <c r="C1218">
        <v>1993</v>
      </c>
      <c r="D1218" t="s">
        <v>27</v>
      </c>
      <c r="E1218" t="s">
        <v>104</v>
      </c>
      <c r="F1218" t="s">
        <v>1265</v>
      </c>
      <c r="G1218">
        <v>180</v>
      </c>
      <c r="H1218" t="s">
        <v>85</v>
      </c>
      <c r="I1218" t="s">
        <v>186</v>
      </c>
      <c r="J1218" t="s">
        <v>110</v>
      </c>
      <c r="K1218" s="4">
        <v>233.71</v>
      </c>
      <c r="L1218" t="s">
        <v>2833</v>
      </c>
      <c r="M1218" s="1">
        <v>46756</v>
      </c>
      <c r="N1218" t="s">
        <v>24</v>
      </c>
      <c r="O1218" t="s">
        <v>33</v>
      </c>
    </row>
    <row r="1219" spans="1:15" x14ac:dyDescent="0.25">
      <c r="A1219" t="s">
        <v>2834</v>
      </c>
      <c r="B1219" t="s">
        <v>134</v>
      </c>
      <c r="C1219">
        <v>1997</v>
      </c>
      <c r="D1219" t="s">
        <v>71</v>
      </c>
      <c r="E1219" t="s">
        <v>60</v>
      </c>
      <c r="F1219" t="s">
        <v>2835</v>
      </c>
      <c r="G1219">
        <v>40</v>
      </c>
      <c r="H1219" t="s">
        <v>38</v>
      </c>
      <c r="I1219" t="s">
        <v>21</v>
      </c>
      <c r="J1219" t="s">
        <v>125</v>
      </c>
      <c r="K1219" s="4">
        <v>330.68</v>
      </c>
      <c r="L1219" t="s">
        <v>2836</v>
      </c>
      <c r="M1219" s="1">
        <v>46445</v>
      </c>
      <c r="N1219" t="s">
        <v>24</v>
      </c>
      <c r="O1219" t="s">
        <v>51</v>
      </c>
    </row>
    <row r="1220" spans="1:15" x14ac:dyDescent="0.25">
      <c r="A1220" t="s">
        <v>269</v>
      </c>
      <c r="B1220" t="s">
        <v>43</v>
      </c>
      <c r="C1220">
        <v>1994</v>
      </c>
      <c r="D1220" t="s">
        <v>95</v>
      </c>
      <c r="E1220" t="s">
        <v>72</v>
      </c>
      <c r="F1220" t="s">
        <v>1237</v>
      </c>
      <c r="G1220">
        <v>820</v>
      </c>
      <c r="H1220" t="s">
        <v>62</v>
      </c>
      <c r="I1220" t="s">
        <v>80</v>
      </c>
      <c r="J1220" t="s">
        <v>110</v>
      </c>
      <c r="K1220" s="4">
        <v>240.27</v>
      </c>
      <c r="L1220" t="s">
        <v>2837</v>
      </c>
      <c r="M1220" s="1">
        <v>46703</v>
      </c>
      <c r="N1220" t="s">
        <v>41</v>
      </c>
      <c r="O1220" t="s">
        <v>51</v>
      </c>
    </row>
    <row r="1221" spans="1:15" x14ac:dyDescent="0.25">
      <c r="A1221" t="s">
        <v>2838</v>
      </c>
      <c r="B1221" t="s">
        <v>70</v>
      </c>
      <c r="C1221">
        <v>2018</v>
      </c>
      <c r="D1221" t="s">
        <v>36</v>
      </c>
      <c r="E1221" t="s">
        <v>45</v>
      </c>
      <c r="F1221" t="s">
        <v>145</v>
      </c>
      <c r="G1221">
        <v>360</v>
      </c>
      <c r="H1221" t="s">
        <v>62</v>
      </c>
      <c r="I1221" t="s">
        <v>48</v>
      </c>
      <c r="J1221" t="s">
        <v>31</v>
      </c>
      <c r="K1221" s="4">
        <v>234.25</v>
      </c>
      <c r="L1221" t="s">
        <v>2839</v>
      </c>
      <c r="M1221" s="1">
        <v>45872</v>
      </c>
      <c r="N1221" t="s">
        <v>41</v>
      </c>
      <c r="O1221" t="s">
        <v>51</v>
      </c>
    </row>
    <row r="1222" spans="1:15" x14ac:dyDescent="0.25">
      <c r="A1222" t="s">
        <v>2840</v>
      </c>
      <c r="B1222" t="s">
        <v>59</v>
      </c>
      <c r="C1222">
        <v>2003</v>
      </c>
      <c r="D1222" t="s">
        <v>27</v>
      </c>
      <c r="E1222" t="s">
        <v>45</v>
      </c>
      <c r="F1222" t="s">
        <v>642</v>
      </c>
      <c r="G1222">
        <v>820</v>
      </c>
      <c r="H1222" t="s">
        <v>85</v>
      </c>
      <c r="I1222" t="s">
        <v>48</v>
      </c>
      <c r="J1222" t="s">
        <v>101</v>
      </c>
      <c r="K1222" s="4">
        <v>381.47</v>
      </c>
      <c r="L1222" t="s">
        <v>2841</v>
      </c>
      <c r="M1222" s="1">
        <v>46611</v>
      </c>
      <c r="N1222" t="s">
        <v>75</v>
      </c>
      <c r="O1222" t="s">
        <v>33</v>
      </c>
    </row>
    <row r="1223" spans="1:15" x14ac:dyDescent="0.25">
      <c r="A1223" t="s">
        <v>2661</v>
      </c>
      <c r="B1223" t="s">
        <v>77</v>
      </c>
      <c r="C1223">
        <v>2000</v>
      </c>
      <c r="D1223" t="s">
        <v>71</v>
      </c>
      <c r="E1223" t="s">
        <v>104</v>
      </c>
      <c r="F1223" t="s">
        <v>2842</v>
      </c>
      <c r="G1223">
        <v>640</v>
      </c>
      <c r="H1223" t="s">
        <v>85</v>
      </c>
      <c r="I1223" t="s">
        <v>186</v>
      </c>
      <c r="J1223" t="s">
        <v>31</v>
      </c>
      <c r="K1223" s="4">
        <v>368.66</v>
      </c>
      <c r="L1223" t="s">
        <v>2843</v>
      </c>
      <c r="M1223" s="1">
        <v>46004</v>
      </c>
      <c r="N1223" t="s">
        <v>75</v>
      </c>
      <c r="O1223" t="s">
        <v>33</v>
      </c>
    </row>
    <row r="1224" spans="1:15" x14ac:dyDescent="0.25">
      <c r="A1224" t="s">
        <v>2844</v>
      </c>
      <c r="B1224" t="s">
        <v>53</v>
      </c>
      <c r="C1224">
        <v>2017</v>
      </c>
      <c r="D1224" t="s">
        <v>17</v>
      </c>
      <c r="E1224" t="s">
        <v>45</v>
      </c>
      <c r="F1224" t="s">
        <v>67</v>
      </c>
      <c r="G1224">
        <v>150</v>
      </c>
      <c r="H1224" t="s">
        <v>56</v>
      </c>
      <c r="I1224" t="s">
        <v>21</v>
      </c>
      <c r="J1224" t="s">
        <v>63</v>
      </c>
      <c r="K1224" s="4">
        <v>428.74</v>
      </c>
      <c r="L1224" t="s">
        <v>2845</v>
      </c>
      <c r="M1224" s="1">
        <v>46534</v>
      </c>
      <c r="N1224" t="s">
        <v>24</v>
      </c>
      <c r="O1224" t="s">
        <v>25</v>
      </c>
    </row>
    <row r="1225" spans="1:15" x14ac:dyDescent="0.25">
      <c r="A1225" t="s">
        <v>2846</v>
      </c>
      <c r="B1225" t="s">
        <v>70</v>
      </c>
      <c r="C1225">
        <v>1991</v>
      </c>
      <c r="D1225" t="s">
        <v>89</v>
      </c>
      <c r="E1225" t="s">
        <v>104</v>
      </c>
      <c r="F1225" t="s">
        <v>208</v>
      </c>
      <c r="G1225">
        <v>110</v>
      </c>
      <c r="H1225" t="s">
        <v>47</v>
      </c>
      <c r="I1225" t="s">
        <v>86</v>
      </c>
      <c r="J1225" t="s">
        <v>121</v>
      </c>
      <c r="K1225" s="4">
        <v>254.91</v>
      </c>
      <c r="L1225" t="s">
        <v>2847</v>
      </c>
      <c r="M1225" s="1">
        <v>46628</v>
      </c>
      <c r="N1225" t="s">
        <v>41</v>
      </c>
      <c r="O1225" t="s">
        <v>51</v>
      </c>
    </row>
    <row r="1226" spans="1:15" x14ac:dyDescent="0.25">
      <c r="A1226" t="s">
        <v>2848</v>
      </c>
      <c r="B1226" t="s">
        <v>134</v>
      </c>
      <c r="C1226">
        <v>2000</v>
      </c>
      <c r="D1226" t="s">
        <v>27</v>
      </c>
      <c r="E1226" t="s">
        <v>60</v>
      </c>
      <c r="F1226" t="s">
        <v>939</v>
      </c>
      <c r="G1226">
        <v>290</v>
      </c>
      <c r="H1226" t="s">
        <v>20</v>
      </c>
      <c r="I1226" t="s">
        <v>30</v>
      </c>
      <c r="J1226" t="s">
        <v>125</v>
      </c>
      <c r="K1226" s="4">
        <v>55.01</v>
      </c>
      <c r="L1226" t="s">
        <v>2849</v>
      </c>
      <c r="M1226" s="1">
        <v>46091</v>
      </c>
      <c r="N1226" t="s">
        <v>24</v>
      </c>
      <c r="O1226" t="s">
        <v>51</v>
      </c>
    </row>
    <row r="1227" spans="1:15" x14ac:dyDescent="0.25">
      <c r="A1227" t="s">
        <v>1890</v>
      </c>
      <c r="B1227" t="s">
        <v>35</v>
      </c>
      <c r="C1227">
        <v>2001</v>
      </c>
      <c r="D1227" t="s">
        <v>27</v>
      </c>
      <c r="E1227" t="s">
        <v>78</v>
      </c>
      <c r="F1227" t="s">
        <v>2850</v>
      </c>
      <c r="G1227">
        <v>20</v>
      </c>
      <c r="H1227" t="s">
        <v>85</v>
      </c>
      <c r="I1227" t="s">
        <v>186</v>
      </c>
      <c r="J1227" t="s">
        <v>121</v>
      </c>
      <c r="K1227" s="4">
        <v>157.44</v>
      </c>
      <c r="L1227" t="s">
        <v>2851</v>
      </c>
      <c r="M1227" s="1">
        <v>46052</v>
      </c>
      <c r="N1227" t="s">
        <v>41</v>
      </c>
      <c r="O1227" t="s">
        <v>25</v>
      </c>
    </row>
    <row r="1228" spans="1:15" x14ac:dyDescent="0.25">
      <c r="A1228" t="s">
        <v>2852</v>
      </c>
      <c r="B1228" t="s">
        <v>35</v>
      </c>
      <c r="C1228">
        <v>2019</v>
      </c>
      <c r="D1228" t="s">
        <v>66</v>
      </c>
      <c r="E1228" t="s">
        <v>119</v>
      </c>
      <c r="F1228" t="s">
        <v>162</v>
      </c>
      <c r="G1228">
        <v>460</v>
      </c>
      <c r="H1228" t="s">
        <v>20</v>
      </c>
      <c r="I1228" t="s">
        <v>48</v>
      </c>
      <c r="J1228" t="s">
        <v>121</v>
      </c>
      <c r="K1228" s="4">
        <v>197.44</v>
      </c>
      <c r="L1228" t="s">
        <v>2853</v>
      </c>
      <c r="M1228" s="1">
        <v>46648</v>
      </c>
      <c r="N1228" t="s">
        <v>24</v>
      </c>
      <c r="O1228" t="s">
        <v>25</v>
      </c>
    </row>
    <row r="1229" spans="1:15" x14ac:dyDescent="0.25">
      <c r="A1229" t="s">
        <v>2854</v>
      </c>
      <c r="B1229" t="s">
        <v>77</v>
      </c>
      <c r="C1229">
        <v>2023</v>
      </c>
      <c r="D1229" t="s">
        <v>44</v>
      </c>
      <c r="E1229" t="s">
        <v>60</v>
      </c>
      <c r="F1229" t="s">
        <v>2855</v>
      </c>
      <c r="G1229">
        <v>750</v>
      </c>
      <c r="H1229" t="s">
        <v>47</v>
      </c>
      <c r="I1229" t="s">
        <v>73</v>
      </c>
      <c r="J1229" t="s">
        <v>92</v>
      </c>
      <c r="K1229" s="4">
        <v>148.51</v>
      </c>
      <c r="L1229" t="s">
        <v>2856</v>
      </c>
      <c r="M1229" s="1">
        <v>45927</v>
      </c>
      <c r="N1229" t="s">
        <v>75</v>
      </c>
      <c r="O1229" t="s">
        <v>25</v>
      </c>
    </row>
    <row r="1230" spans="1:15" x14ac:dyDescent="0.25">
      <c r="A1230" t="s">
        <v>2857</v>
      </c>
      <c r="B1230" t="s">
        <v>98</v>
      </c>
      <c r="C1230">
        <v>2004</v>
      </c>
      <c r="D1230" t="s">
        <v>66</v>
      </c>
      <c r="E1230" t="s">
        <v>119</v>
      </c>
      <c r="F1230" t="s">
        <v>381</v>
      </c>
      <c r="G1230">
        <v>130</v>
      </c>
      <c r="H1230" t="s">
        <v>85</v>
      </c>
      <c r="I1230" t="s">
        <v>80</v>
      </c>
      <c r="J1230" t="s">
        <v>22</v>
      </c>
      <c r="K1230" s="4">
        <v>2.96</v>
      </c>
      <c r="L1230" t="s">
        <v>2858</v>
      </c>
      <c r="M1230" s="1">
        <v>46466</v>
      </c>
      <c r="N1230" t="s">
        <v>41</v>
      </c>
      <c r="O1230" t="s">
        <v>25</v>
      </c>
    </row>
    <row r="1231" spans="1:15" x14ac:dyDescent="0.25">
      <c r="A1231" t="s">
        <v>2859</v>
      </c>
      <c r="B1231" t="s">
        <v>43</v>
      </c>
      <c r="C1231">
        <v>2021</v>
      </c>
      <c r="D1231" t="s">
        <v>27</v>
      </c>
      <c r="E1231" t="s">
        <v>104</v>
      </c>
      <c r="F1231" t="s">
        <v>67</v>
      </c>
      <c r="G1231">
        <v>750</v>
      </c>
      <c r="H1231" t="s">
        <v>85</v>
      </c>
      <c r="I1231" t="s">
        <v>151</v>
      </c>
      <c r="J1231" t="s">
        <v>110</v>
      </c>
      <c r="K1231" s="4">
        <v>14.87</v>
      </c>
      <c r="L1231" t="s">
        <v>2860</v>
      </c>
      <c r="M1231" s="1">
        <v>46687</v>
      </c>
      <c r="N1231" t="s">
        <v>24</v>
      </c>
      <c r="O1231" t="s">
        <v>25</v>
      </c>
    </row>
    <row r="1232" spans="1:15" x14ac:dyDescent="0.25">
      <c r="A1232" t="s">
        <v>2861</v>
      </c>
      <c r="B1232" t="s">
        <v>43</v>
      </c>
      <c r="C1232">
        <v>1995</v>
      </c>
      <c r="D1232" t="s">
        <v>66</v>
      </c>
      <c r="E1232" t="s">
        <v>54</v>
      </c>
      <c r="F1232" t="s">
        <v>139</v>
      </c>
      <c r="G1232">
        <v>860</v>
      </c>
      <c r="H1232" t="s">
        <v>62</v>
      </c>
      <c r="I1232" t="s">
        <v>186</v>
      </c>
      <c r="J1232" t="s">
        <v>49</v>
      </c>
      <c r="K1232" s="4">
        <v>178.08</v>
      </c>
      <c r="L1232" t="s">
        <v>2862</v>
      </c>
      <c r="M1232" s="1">
        <v>46963</v>
      </c>
      <c r="N1232" t="s">
        <v>24</v>
      </c>
      <c r="O1232" t="s">
        <v>33</v>
      </c>
    </row>
    <row r="1233" spans="1:15" x14ac:dyDescent="0.25">
      <c r="A1233" t="s">
        <v>2863</v>
      </c>
      <c r="B1233" t="s">
        <v>134</v>
      </c>
      <c r="C1233">
        <v>1999</v>
      </c>
      <c r="D1233" t="s">
        <v>44</v>
      </c>
      <c r="E1233" t="s">
        <v>78</v>
      </c>
      <c r="F1233" t="s">
        <v>1464</v>
      </c>
      <c r="G1233">
        <v>240</v>
      </c>
      <c r="H1233" t="s">
        <v>47</v>
      </c>
      <c r="I1233" t="s">
        <v>86</v>
      </c>
      <c r="J1233" t="s">
        <v>63</v>
      </c>
      <c r="K1233" s="4">
        <v>446.59</v>
      </c>
      <c r="L1233" t="s">
        <v>2864</v>
      </c>
      <c r="M1233" s="1">
        <v>46366</v>
      </c>
      <c r="N1233" t="s">
        <v>75</v>
      </c>
      <c r="O1233" t="s">
        <v>33</v>
      </c>
    </row>
    <row r="1234" spans="1:15" x14ac:dyDescent="0.25">
      <c r="A1234" t="s">
        <v>2865</v>
      </c>
      <c r="B1234" t="s">
        <v>16</v>
      </c>
      <c r="C1234">
        <v>2007</v>
      </c>
      <c r="D1234" t="s">
        <v>27</v>
      </c>
      <c r="E1234" t="s">
        <v>116</v>
      </c>
      <c r="F1234" t="s">
        <v>603</v>
      </c>
      <c r="G1234">
        <v>950</v>
      </c>
      <c r="H1234" t="s">
        <v>62</v>
      </c>
      <c r="I1234" t="s">
        <v>48</v>
      </c>
      <c r="J1234" t="s">
        <v>31</v>
      </c>
      <c r="K1234" s="4">
        <v>405.34</v>
      </c>
      <c r="L1234" t="s">
        <v>2866</v>
      </c>
      <c r="M1234" s="1">
        <v>46556</v>
      </c>
      <c r="N1234" t="s">
        <v>75</v>
      </c>
      <c r="O1234" t="s">
        <v>25</v>
      </c>
    </row>
    <row r="1235" spans="1:15" x14ac:dyDescent="0.25">
      <c r="A1235" t="s">
        <v>2867</v>
      </c>
      <c r="B1235" t="s">
        <v>16</v>
      </c>
      <c r="C1235">
        <v>2002</v>
      </c>
      <c r="D1235" t="s">
        <v>108</v>
      </c>
      <c r="E1235" t="s">
        <v>18</v>
      </c>
      <c r="F1235" t="s">
        <v>1002</v>
      </c>
      <c r="G1235">
        <v>770</v>
      </c>
      <c r="H1235" t="s">
        <v>38</v>
      </c>
      <c r="I1235" t="s">
        <v>21</v>
      </c>
      <c r="J1235" t="s">
        <v>31</v>
      </c>
      <c r="K1235" s="4">
        <v>240.12</v>
      </c>
      <c r="L1235" t="s">
        <v>2868</v>
      </c>
      <c r="M1235" s="1">
        <v>46027</v>
      </c>
      <c r="N1235" t="s">
        <v>24</v>
      </c>
      <c r="O1235" t="s">
        <v>25</v>
      </c>
    </row>
    <row r="1236" spans="1:15" x14ac:dyDescent="0.25">
      <c r="A1236" t="s">
        <v>2869</v>
      </c>
      <c r="B1236" t="s">
        <v>43</v>
      </c>
      <c r="C1236">
        <v>2024</v>
      </c>
      <c r="D1236" t="s">
        <v>36</v>
      </c>
      <c r="E1236" t="s">
        <v>72</v>
      </c>
      <c r="F1236" t="s">
        <v>208</v>
      </c>
      <c r="G1236">
        <v>340</v>
      </c>
      <c r="H1236" t="s">
        <v>29</v>
      </c>
      <c r="I1236" t="s">
        <v>48</v>
      </c>
      <c r="J1236" t="s">
        <v>146</v>
      </c>
      <c r="K1236" s="4">
        <v>276.85000000000002</v>
      </c>
      <c r="L1236" t="s">
        <v>2870</v>
      </c>
      <c r="M1236" s="1">
        <v>46437</v>
      </c>
      <c r="N1236" t="s">
        <v>41</v>
      </c>
      <c r="O1236" t="s">
        <v>51</v>
      </c>
    </row>
    <row r="1237" spans="1:15" x14ac:dyDescent="0.25">
      <c r="A1237" t="s">
        <v>2871</v>
      </c>
      <c r="B1237" t="s">
        <v>16</v>
      </c>
      <c r="C1237">
        <v>1990</v>
      </c>
      <c r="D1237" t="s">
        <v>17</v>
      </c>
      <c r="E1237" t="s">
        <v>45</v>
      </c>
      <c r="F1237" t="s">
        <v>276</v>
      </c>
      <c r="G1237">
        <v>550</v>
      </c>
      <c r="H1237" t="s">
        <v>62</v>
      </c>
      <c r="I1237" t="s">
        <v>91</v>
      </c>
      <c r="J1237" t="s">
        <v>125</v>
      </c>
      <c r="K1237" s="4">
        <v>456.34</v>
      </c>
      <c r="L1237" t="s">
        <v>2872</v>
      </c>
      <c r="M1237" s="1">
        <v>45902</v>
      </c>
      <c r="N1237" t="s">
        <v>41</v>
      </c>
      <c r="O1237" t="s">
        <v>33</v>
      </c>
    </row>
    <row r="1238" spans="1:15" x14ac:dyDescent="0.25">
      <c r="A1238" t="s">
        <v>1254</v>
      </c>
      <c r="B1238" t="s">
        <v>35</v>
      </c>
      <c r="C1238">
        <v>2015</v>
      </c>
      <c r="D1238" t="s">
        <v>44</v>
      </c>
      <c r="E1238" t="s">
        <v>54</v>
      </c>
      <c r="F1238" t="s">
        <v>875</v>
      </c>
      <c r="G1238">
        <v>200</v>
      </c>
      <c r="H1238" t="s">
        <v>62</v>
      </c>
      <c r="I1238" t="s">
        <v>151</v>
      </c>
      <c r="J1238" t="s">
        <v>22</v>
      </c>
      <c r="K1238" s="4">
        <v>41.55</v>
      </c>
      <c r="L1238" t="s">
        <v>2873</v>
      </c>
      <c r="M1238" s="1">
        <v>46633</v>
      </c>
      <c r="N1238" t="s">
        <v>24</v>
      </c>
      <c r="O1238" t="s">
        <v>33</v>
      </c>
    </row>
    <row r="1239" spans="1:15" x14ac:dyDescent="0.25">
      <c r="A1239" t="s">
        <v>2874</v>
      </c>
      <c r="B1239" t="s">
        <v>134</v>
      </c>
      <c r="C1239">
        <v>2024</v>
      </c>
      <c r="D1239" t="s">
        <v>66</v>
      </c>
      <c r="E1239" t="s">
        <v>18</v>
      </c>
      <c r="F1239" t="s">
        <v>145</v>
      </c>
      <c r="G1239">
        <v>420</v>
      </c>
      <c r="H1239" t="s">
        <v>29</v>
      </c>
      <c r="I1239" t="s">
        <v>91</v>
      </c>
      <c r="J1239" t="s">
        <v>146</v>
      </c>
      <c r="K1239" s="4">
        <v>309.86</v>
      </c>
      <c r="L1239" t="s">
        <v>2875</v>
      </c>
      <c r="M1239" s="1">
        <v>46591</v>
      </c>
      <c r="N1239" t="s">
        <v>41</v>
      </c>
      <c r="O1239" t="s">
        <v>25</v>
      </c>
    </row>
    <row r="1240" spans="1:15" x14ac:dyDescent="0.25">
      <c r="A1240" t="s">
        <v>2876</v>
      </c>
      <c r="B1240" t="s">
        <v>138</v>
      </c>
      <c r="C1240">
        <v>2014</v>
      </c>
      <c r="D1240" t="s">
        <v>83</v>
      </c>
      <c r="E1240" t="s">
        <v>60</v>
      </c>
      <c r="F1240" t="s">
        <v>2877</v>
      </c>
      <c r="G1240">
        <v>350</v>
      </c>
      <c r="H1240" t="s">
        <v>20</v>
      </c>
      <c r="I1240" t="s">
        <v>30</v>
      </c>
      <c r="J1240" t="s">
        <v>22</v>
      </c>
      <c r="K1240" s="4">
        <v>185.5</v>
      </c>
      <c r="L1240" t="s">
        <v>2878</v>
      </c>
      <c r="M1240" s="1">
        <v>46372</v>
      </c>
      <c r="N1240" t="s">
        <v>24</v>
      </c>
      <c r="O1240" t="s">
        <v>51</v>
      </c>
    </row>
    <row r="1241" spans="1:15" x14ac:dyDescent="0.25">
      <c r="A1241" t="s">
        <v>2879</v>
      </c>
      <c r="B1241" t="s">
        <v>59</v>
      </c>
      <c r="C1241">
        <v>2002</v>
      </c>
      <c r="D1241" t="s">
        <v>71</v>
      </c>
      <c r="E1241" t="s">
        <v>18</v>
      </c>
      <c r="F1241" t="s">
        <v>79</v>
      </c>
      <c r="G1241">
        <v>230</v>
      </c>
      <c r="H1241" t="s">
        <v>29</v>
      </c>
      <c r="I1241" t="s">
        <v>21</v>
      </c>
      <c r="J1241" t="s">
        <v>101</v>
      </c>
      <c r="K1241" s="4">
        <v>28.25</v>
      </c>
      <c r="L1241" t="s">
        <v>2880</v>
      </c>
      <c r="M1241" s="1">
        <v>45912</v>
      </c>
      <c r="N1241" t="s">
        <v>75</v>
      </c>
      <c r="O1241" t="s">
        <v>25</v>
      </c>
    </row>
    <row r="1242" spans="1:15" x14ac:dyDescent="0.25">
      <c r="A1242" t="s">
        <v>2698</v>
      </c>
      <c r="B1242" t="s">
        <v>77</v>
      </c>
      <c r="C1242">
        <v>2001</v>
      </c>
      <c r="D1242" t="s">
        <v>95</v>
      </c>
      <c r="E1242" t="s">
        <v>116</v>
      </c>
      <c r="F1242" t="s">
        <v>2881</v>
      </c>
      <c r="G1242">
        <v>970</v>
      </c>
      <c r="H1242" t="s">
        <v>47</v>
      </c>
      <c r="I1242" t="s">
        <v>48</v>
      </c>
      <c r="J1242" t="s">
        <v>22</v>
      </c>
      <c r="K1242" s="4">
        <v>85.92</v>
      </c>
      <c r="L1242" t="s">
        <v>2882</v>
      </c>
      <c r="M1242" s="1">
        <v>46776</v>
      </c>
      <c r="N1242" t="s">
        <v>24</v>
      </c>
      <c r="O1242" t="s">
        <v>33</v>
      </c>
    </row>
    <row r="1243" spans="1:15" x14ac:dyDescent="0.25">
      <c r="A1243" t="s">
        <v>2883</v>
      </c>
      <c r="B1243" t="s">
        <v>70</v>
      </c>
      <c r="C1243">
        <v>1998</v>
      </c>
      <c r="D1243" t="s">
        <v>95</v>
      </c>
      <c r="E1243" t="s">
        <v>54</v>
      </c>
      <c r="F1243" t="s">
        <v>286</v>
      </c>
      <c r="G1243">
        <v>340</v>
      </c>
      <c r="H1243" t="s">
        <v>62</v>
      </c>
      <c r="I1243" t="s">
        <v>86</v>
      </c>
      <c r="J1243" t="s">
        <v>146</v>
      </c>
      <c r="K1243" s="4">
        <v>478.74</v>
      </c>
      <c r="L1243" t="s">
        <v>2884</v>
      </c>
      <c r="M1243" s="1">
        <v>46803</v>
      </c>
      <c r="N1243" t="s">
        <v>75</v>
      </c>
      <c r="O1243" t="s">
        <v>51</v>
      </c>
    </row>
    <row r="1244" spans="1:15" x14ac:dyDescent="0.25">
      <c r="A1244" t="s">
        <v>2885</v>
      </c>
      <c r="B1244" t="s">
        <v>77</v>
      </c>
      <c r="C1244">
        <v>2011</v>
      </c>
      <c r="D1244" t="s">
        <v>95</v>
      </c>
      <c r="E1244" t="s">
        <v>72</v>
      </c>
      <c r="F1244" t="s">
        <v>67</v>
      </c>
      <c r="G1244">
        <v>180</v>
      </c>
      <c r="H1244" t="s">
        <v>62</v>
      </c>
      <c r="I1244" t="s">
        <v>21</v>
      </c>
      <c r="J1244" t="s">
        <v>146</v>
      </c>
      <c r="K1244" s="4">
        <v>476.75</v>
      </c>
      <c r="L1244" t="s">
        <v>2886</v>
      </c>
      <c r="M1244" s="1">
        <v>46668</v>
      </c>
      <c r="N1244" t="s">
        <v>41</v>
      </c>
      <c r="O1244" t="s">
        <v>51</v>
      </c>
    </row>
    <row r="1245" spans="1:15" x14ac:dyDescent="0.25">
      <c r="A1245" t="s">
        <v>2887</v>
      </c>
      <c r="B1245" t="s">
        <v>16</v>
      </c>
      <c r="C1245">
        <v>2024</v>
      </c>
      <c r="D1245" t="s">
        <v>89</v>
      </c>
      <c r="E1245" t="s">
        <v>54</v>
      </c>
      <c r="F1245" t="s">
        <v>208</v>
      </c>
      <c r="G1245">
        <v>30</v>
      </c>
      <c r="H1245" t="s">
        <v>85</v>
      </c>
      <c r="I1245" t="s">
        <v>151</v>
      </c>
      <c r="J1245" t="s">
        <v>146</v>
      </c>
      <c r="K1245" s="4">
        <v>68.98</v>
      </c>
      <c r="L1245" t="s">
        <v>2888</v>
      </c>
      <c r="M1245" s="1">
        <v>46925</v>
      </c>
      <c r="N1245" t="s">
        <v>41</v>
      </c>
      <c r="O1245" t="s">
        <v>51</v>
      </c>
    </row>
    <row r="1246" spans="1:15" x14ac:dyDescent="0.25">
      <c r="A1246" t="s">
        <v>2889</v>
      </c>
      <c r="B1246" t="s">
        <v>98</v>
      </c>
      <c r="C1246">
        <v>2001</v>
      </c>
      <c r="D1246" t="s">
        <v>17</v>
      </c>
      <c r="E1246" t="s">
        <v>60</v>
      </c>
      <c r="F1246" t="s">
        <v>2890</v>
      </c>
      <c r="G1246">
        <v>720</v>
      </c>
      <c r="H1246" t="s">
        <v>20</v>
      </c>
      <c r="I1246" t="s">
        <v>39</v>
      </c>
      <c r="J1246" t="s">
        <v>121</v>
      </c>
      <c r="K1246" s="4">
        <v>279.18</v>
      </c>
      <c r="L1246" t="s">
        <v>2891</v>
      </c>
      <c r="M1246" s="1">
        <v>46586</v>
      </c>
      <c r="N1246" t="s">
        <v>24</v>
      </c>
      <c r="O1246" t="s">
        <v>33</v>
      </c>
    </row>
    <row r="1247" spans="1:15" x14ac:dyDescent="0.25">
      <c r="A1247" t="s">
        <v>2892</v>
      </c>
      <c r="B1247" t="s">
        <v>43</v>
      </c>
      <c r="C1247">
        <v>1997</v>
      </c>
      <c r="D1247" t="s">
        <v>36</v>
      </c>
      <c r="E1247" t="s">
        <v>78</v>
      </c>
      <c r="F1247" t="s">
        <v>79</v>
      </c>
      <c r="G1247">
        <v>350</v>
      </c>
      <c r="H1247" t="s">
        <v>56</v>
      </c>
      <c r="I1247" t="s">
        <v>21</v>
      </c>
      <c r="J1247" t="s">
        <v>101</v>
      </c>
      <c r="K1247" s="4">
        <v>311</v>
      </c>
      <c r="L1247" t="s">
        <v>2893</v>
      </c>
      <c r="M1247" s="1">
        <v>46080</v>
      </c>
      <c r="N1247" t="s">
        <v>75</v>
      </c>
      <c r="O1247" t="s">
        <v>25</v>
      </c>
    </row>
    <row r="1248" spans="1:15" x14ac:dyDescent="0.25">
      <c r="A1248" t="s">
        <v>2894</v>
      </c>
      <c r="B1248" t="s">
        <v>53</v>
      </c>
      <c r="C1248">
        <v>2019</v>
      </c>
      <c r="D1248" t="s">
        <v>89</v>
      </c>
      <c r="E1248" t="s">
        <v>72</v>
      </c>
      <c r="F1248" t="s">
        <v>946</v>
      </c>
      <c r="G1248">
        <v>690</v>
      </c>
      <c r="H1248" t="s">
        <v>29</v>
      </c>
      <c r="I1248" t="s">
        <v>86</v>
      </c>
      <c r="J1248" t="s">
        <v>31</v>
      </c>
      <c r="K1248" s="4">
        <v>246.1</v>
      </c>
      <c r="L1248" t="s">
        <v>2895</v>
      </c>
      <c r="M1248" s="1">
        <v>46241</v>
      </c>
      <c r="N1248" t="s">
        <v>24</v>
      </c>
      <c r="O1248" t="s">
        <v>33</v>
      </c>
    </row>
    <row r="1249" spans="1:15" x14ac:dyDescent="0.25">
      <c r="A1249" t="s">
        <v>2270</v>
      </c>
      <c r="B1249" t="s">
        <v>134</v>
      </c>
      <c r="C1249">
        <v>2008</v>
      </c>
      <c r="D1249" t="s">
        <v>17</v>
      </c>
      <c r="E1249" t="s">
        <v>18</v>
      </c>
      <c r="F1249" t="s">
        <v>211</v>
      </c>
      <c r="G1249">
        <v>800</v>
      </c>
      <c r="H1249" t="s">
        <v>85</v>
      </c>
      <c r="I1249" t="s">
        <v>48</v>
      </c>
      <c r="J1249" t="s">
        <v>92</v>
      </c>
      <c r="K1249" s="4">
        <v>331.11</v>
      </c>
      <c r="L1249" t="s">
        <v>2896</v>
      </c>
      <c r="M1249" s="1">
        <v>46112</v>
      </c>
      <c r="N1249" t="s">
        <v>75</v>
      </c>
      <c r="O1249" t="s">
        <v>33</v>
      </c>
    </row>
    <row r="1250" spans="1:15" x14ac:dyDescent="0.25">
      <c r="A1250" t="s">
        <v>2897</v>
      </c>
      <c r="B1250" t="s">
        <v>35</v>
      </c>
      <c r="C1250">
        <v>2009</v>
      </c>
      <c r="D1250" t="s">
        <v>66</v>
      </c>
      <c r="E1250" t="s">
        <v>72</v>
      </c>
      <c r="F1250" t="s">
        <v>378</v>
      </c>
      <c r="G1250">
        <v>640</v>
      </c>
      <c r="H1250" t="s">
        <v>85</v>
      </c>
      <c r="I1250" t="s">
        <v>73</v>
      </c>
      <c r="J1250" t="s">
        <v>31</v>
      </c>
      <c r="K1250" s="4">
        <v>222.68</v>
      </c>
      <c r="L1250" t="s">
        <v>2898</v>
      </c>
      <c r="M1250" s="1">
        <v>45896</v>
      </c>
      <c r="N1250" t="s">
        <v>41</v>
      </c>
      <c r="O1250" t="s">
        <v>33</v>
      </c>
    </row>
    <row r="1251" spans="1:15" x14ac:dyDescent="0.25">
      <c r="A1251" t="s">
        <v>1624</v>
      </c>
      <c r="B1251" t="s">
        <v>138</v>
      </c>
      <c r="C1251">
        <v>2013</v>
      </c>
      <c r="D1251" t="s">
        <v>89</v>
      </c>
      <c r="E1251" t="s">
        <v>99</v>
      </c>
      <c r="F1251" t="s">
        <v>493</v>
      </c>
      <c r="G1251">
        <v>500</v>
      </c>
      <c r="H1251" t="s">
        <v>20</v>
      </c>
      <c r="I1251" t="s">
        <v>151</v>
      </c>
      <c r="J1251" t="s">
        <v>121</v>
      </c>
      <c r="K1251" s="4">
        <v>390.87</v>
      </c>
      <c r="L1251" t="s">
        <v>2899</v>
      </c>
      <c r="M1251" s="1">
        <v>46962</v>
      </c>
      <c r="N1251" t="s">
        <v>75</v>
      </c>
      <c r="O1251" t="s">
        <v>33</v>
      </c>
    </row>
    <row r="1252" spans="1:15" x14ac:dyDescent="0.25">
      <c r="A1252" t="s">
        <v>2900</v>
      </c>
      <c r="B1252" t="s">
        <v>35</v>
      </c>
      <c r="C1252">
        <v>1997</v>
      </c>
      <c r="D1252" t="s">
        <v>36</v>
      </c>
      <c r="E1252" t="s">
        <v>116</v>
      </c>
      <c r="F1252" t="s">
        <v>323</v>
      </c>
      <c r="G1252">
        <v>650</v>
      </c>
      <c r="H1252" t="s">
        <v>29</v>
      </c>
      <c r="I1252" t="s">
        <v>21</v>
      </c>
      <c r="J1252" t="s">
        <v>31</v>
      </c>
      <c r="K1252" s="4">
        <v>340.15</v>
      </c>
      <c r="L1252" t="s">
        <v>2901</v>
      </c>
      <c r="M1252" s="1">
        <v>46454</v>
      </c>
      <c r="N1252" t="s">
        <v>75</v>
      </c>
      <c r="O1252" t="s">
        <v>25</v>
      </c>
    </row>
    <row r="1253" spans="1:15" x14ac:dyDescent="0.25">
      <c r="A1253" t="s">
        <v>2902</v>
      </c>
      <c r="B1253" t="s">
        <v>98</v>
      </c>
      <c r="C1253">
        <v>2002</v>
      </c>
      <c r="D1253" t="s">
        <v>44</v>
      </c>
      <c r="E1253" t="s">
        <v>18</v>
      </c>
      <c r="F1253" t="s">
        <v>2903</v>
      </c>
      <c r="G1253">
        <v>100</v>
      </c>
      <c r="H1253" t="s">
        <v>38</v>
      </c>
      <c r="I1253" t="s">
        <v>151</v>
      </c>
      <c r="J1253" t="s">
        <v>110</v>
      </c>
      <c r="K1253" s="4">
        <v>138.49</v>
      </c>
      <c r="L1253" t="s">
        <v>2904</v>
      </c>
      <c r="M1253" s="1">
        <v>46626</v>
      </c>
      <c r="N1253" t="s">
        <v>75</v>
      </c>
      <c r="O1253" t="s">
        <v>25</v>
      </c>
    </row>
    <row r="1254" spans="1:15" x14ac:dyDescent="0.25">
      <c r="A1254" t="s">
        <v>2905</v>
      </c>
      <c r="B1254" t="s">
        <v>16</v>
      </c>
      <c r="C1254">
        <v>1991</v>
      </c>
      <c r="D1254" t="s">
        <v>27</v>
      </c>
      <c r="E1254" t="s">
        <v>78</v>
      </c>
      <c r="F1254" t="s">
        <v>372</v>
      </c>
      <c r="G1254">
        <v>910</v>
      </c>
      <c r="H1254" t="s">
        <v>62</v>
      </c>
      <c r="I1254" t="s">
        <v>73</v>
      </c>
      <c r="J1254" t="s">
        <v>101</v>
      </c>
      <c r="K1254" s="4">
        <v>466.36</v>
      </c>
      <c r="L1254" t="s">
        <v>2906</v>
      </c>
      <c r="M1254" s="1">
        <v>46222</v>
      </c>
      <c r="N1254" t="s">
        <v>41</v>
      </c>
      <c r="O1254" t="s">
        <v>33</v>
      </c>
    </row>
    <row r="1255" spans="1:15" x14ac:dyDescent="0.25">
      <c r="A1255" t="s">
        <v>2907</v>
      </c>
      <c r="B1255" t="s">
        <v>98</v>
      </c>
      <c r="C1255">
        <v>2006</v>
      </c>
      <c r="D1255" t="s">
        <v>71</v>
      </c>
      <c r="E1255" t="s">
        <v>99</v>
      </c>
      <c r="F1255" t="s">
        <v>208</v>
      </c>
      <c r="G1255">
        <v>10</v>
      </c>
      <c r="H1255" t="s">
        <v>62</v>
      </c>
      <c r="I1255" t="s">
        <v>91</v>
      </c>
      <c r="J1255" t="s">
        <v>101</v>
      </c>
      <c r="K1255" s="4">
        <v>387.85</v>
      </c>
      <c r="L1255" t="s">
        <v>2908</v>
      </c>
      <c r="M1255" s="1">
        <v>46744</v>
      </c>
      <c r="N1255" t="s">
        <v>24</v>
      </c>
      <c r="O1255" t="s">
        <v>33</v>
      </c>
    </row>
    <row r="1256" spans="1:15" x14ac:dyDescent="0.25">
      <c r="A1256" t="s">
        <v>2909</v>
      </c>
      <c r="B1256" t="s">
        <v>98</v>
      </c>
      <c r="C1256">
        <v>2001</v>
      </c>
      <c r="D1256" t="s">
        <v>66</v>
      </c>
      <c r="E1256" t="s">
        <v>104</v>
      </c>
      <c r="F1256" t="s">
        <v>493</v>
      </c>
      <c r="G1256">
        <v>580</v>
      </c>
      <c r="H1256" t="s">
        <v>85</v>
      </c>
      <c r="I1256" t="s">
        <v>86</v>
      </c>
      <c r="J1256" t="s">
        <v>22</v>
      </c>
      <c r="K1256" s="4">
        <v>111.52</v>
      </c>
      <c r="L1256" t="s">
        <v>2910</v>
      </c>
      <c r="M1256" s="1">
        <v>45876</v>
      </c>
      <c r="N1256" t="s">
        <v>41</v>
      </c>
      <c r="O1256" t="s">
        <v>25</v>
      </c>
    </row>
    <row r="1257" spans="1:15" x14ac:dyDescent="0.25">
      <c r="A1257" t="s">
        <v>2911</v>
      </c>
      <c r="B1257" t="s">
        <v>138</v>
      </c>
      <c r="C1257">
        <v>1997</v>
      </c>
      <c r="D1257" t="s">
        <v>27</v>
      </c>
      <c r="E1257" t="s">
        <v>104</v>
      </c>
      <c r="F1257" t="s">
        <v>162</v>
      </c>
      <c r="G1257">
        <v>430</v>
      </c>
      <c r="H1257" t="s">
        <v>56</v>
      </c>
      <c r="I1257" t="s">
        <v>91</v>
      </c>
      <c r="J1257" t="s">
        <v>101</v>
      </c>
      <c r="K1257" s="4">
        <v>26.8</v>
      </c>
      <c r="L1257" t="s">
        <v>2912</v>
      </c>
      <c r="M1257" s="1">
        <v>46914</v>
      </c>
      <c r="N1257" t="s">
        <v>24</v>
      </c>
      <c r="O1257" t="s">
        <v>51</v>
      </c>
    </row>
    <row r="1258" spans="1:15" x14ac:dyDescent="0.25">
      <c r="A1258" t="s">
        <v>2913</v>
      </c>
      <c r="B1258" t="s">
        <v>16</v>
      </c>
      <c r="C1258">
        <v>2014</v>
      </c>
      <c r="D1258" t="s">
        <v>71</v>
      </c>
      <c r="E1258" t="s">
        <v>78</v>
      </c>
      <c r="F1258" t="s">
        <v>205</v>
      </c>
      <c r="G1258">
        <v>790</v>
      </c>
      <c r="H1258" t="s">
        <v>56</v>
      </c>
      <c r="I1258" t="s">
        <v>48</v>
      </c>
      <c r="J1258" t="s">
        <v>110</v>
      </c>
      <c r="K1258" s="4">
        <v>334.11</v>
      </c>
      <c r="L1258" t="s">
        <v>2914</v>
      </c>
      <c r="M1258" s="1">
        <v>46573</v>
      </c>
      <c r="N1258" t="s">
        <v>41</v>
      </c>
      <c r="O1258" t="s">
        <v>25</v>
      </c>
    </row>
    <row r="1259" spans="1:15" x14ac:dyDescent="0.25">
      <c r="A1259" t="s">
        <v>2915</v>
      </c>
      <c r="B1259" t="s">
        <v>70</v>
      </c>
      <c r="C1259">
        <v>2008</v>
      </c>
      <c r="D1259" t="s">
        <v>95</v>
      </c>
      <c r="E1259" t="s">
        <v>60</v>
      </c>
      <c r="F1259" t="s">
        <v>1309</v>
      </c>
      <c r="G1259">
        <v>740</v>
      </c>
      <c r="H1259" t="s">
        <v>62</v>
      </c>
      <c r="I1259" t="s">
        <v>39</v>
      </c>
      <c r="J1259" t="s">
        <v>49</v>
      </c>
      <c r="K1259" s="4">
        <v>393.73</v>
      </c>
      <c r="L1259" t="s">
        <v>2916</v>
      </c>
      <c r="M1259" s="1">
        <v>46490</v>
      </c>
      <c r="N1259" t="s">
        <v>24</v>
      </c>
      <c r="O1259" t="s">
        <v>51</v>
      </c>
    </row>
    <row r="1260" spans="1:15" x14ac:dyDescent="0.25">
      <c r="A1260" t="s">
        <v>2917</v>
      </c>
      <c r="B1260" t="s">
        <v>134</v>
      </c>
      <c r="C1260">
        <v>2015</v>
      </c>
      <c r="D1260" t="s">
        <v>108</v>
      </c>
      <c r="E1260" t="s">
        <v>60</v>
      </c>
      <c r="F1260" t="s">
        <v>135</v>
      </c>
      <c r="G1260">
        <v>310</v>
      </c>
      <c r="H1260" t="s">
        <v>47</v>
      </c>
      <c r="I1260" t="s">
        <v>73</v>
      </c>
      <c r="J1260" t="s">
        <v>125</v>
      </c>
      <c r="K1260" s="4">
        <v>127.14</v>
      </c>
      <c r="L1260" t="s">
        <v>2918</v>
      </c>
      <c r="M1260" s="1">
        <v>46197</v>
      </c>
      <c r="N1260" t="s">
        <v>75</v>
      </c>
      <c r="O1260" t="s">
        <v>25</v>
      </c>
    </row>
    <row r="1261" spans="1:15" x14ac:dyDescent="0.25">
      <c r="A1261" t="s">
        <v>2919</v>
      </c>
      <c r="B1261" t="s">
        <v>70</v>
      </c>
      <c r="C1261">
        <v>2002</v>
      </c>
      <c r="D1261" t="s">
        <v>66</v>
      </c>
      <c r="E1261" t="s">
        <v>116</v>
      </c>
      <c r="F1261" t="s">
        <v>1566</v>
      </c>
      <c r="G1261">
        <v>970</v>
      </c>
      <c r="H1261" t="s">
        <v>56</v>
      </c>
      <c r="I1261" t="s">
        <v>186</v>
      </c>
      <c r="J1261" t="s">
        <v>31</v>
      </c>
      <c r="K1261" s="4">
        <v>58.89</v>
      </c>
      <c r="L1261" t="s">
        <v>2920</v>
      </c>
      <c r="M1261" s="1">
        <v>46954</v>
      </c>
      <c r="N1261" t="s">
        <v>41</v>
      </c>
      <c r="O1261" t="s">
        <v>33</v>
      </c>
    </row>
    <row r="1262" spans="1:15" x14ac:dyDescent="0.25">
      <c r="A1262" t="s">
        <v>2921</v>
      </c>
      <c r="B1262" t="s">
        <v>53</v>
      </c>
      <c r="C1262">
        <v>2004</v>
      </c>
      <c r="D1262" t="s">
        <v>27</v>
      </c>
      <c r="E1262" t="s">
        <v>119</v>
      </c>
      <c r="F1262" t="s">
        <v>2922</v>
      </c>
      <c r="G1262">
        <v>330</v>
      </c>
      <c r="H1262" t="s">
        <v>47</v>
      </c>
      <c r="I1262" t="s">
        <v>30</v>
      </c>
      <c r="J1262" t="s">
        <v>22</v>
      </c>
      <c r="K1262" s="4">
        <v>75.88</v>
      </c>
      <c r="L1262" t="s">
        <v>2923</v>
      </c>
      <c r="M1262" s="1">
        <v>46120</v>
      </c>
      <c r="N1262" t="s">
        <v>75</v>
      </c>
      <c r="O1262" t="s">
        <v>33</v>
      </c>
    </row>
    <row r="1263" spans="1:15" x14ac:dyDescent="0.25">
      <c r="A1263" t="s">
        <v>1335</v>
      </c>
      <c r="B1263" t="s">
        <v>77</v>
      </c>
      <c r="C1263">
        <v>2008</v>
      </c>
      <c r="D1263" t="s">
        <v>89</v>
      </c>
      <c r="E1263" t="s">
        <v>60</v>
      </c>
      <c r="F1263" t="s">
        <v>250</v>
      </c>
      <c r="G1263">
        <v>150</v>
      </c>
      <c r="H1263" t="s">
        <v>85</v>
      </c>
      <c r="I1263" t="s">
        <v>30</v>
      </c>
      <c r="J1263" t="s">
        <v>125</v>
      </c>
      <c r="K1263" s="4">
        <v>132.68</v>
      </c>
      <c r="L1263" t="s">
        <v>2924</v>
      </c>
      <c r="M1263" s="1">
        <v>46386</v>
      </c>
      <c r="N1263" t="s">
        <v>75</v>
      </c>
      <c r="O1263" t="s">
        <v>33</v>
      </c>
    </row>
    <row r="1264" spans="1:15" x14ac:dyDescent="0.25">
      <c r="A1264" t="s">
        <v>2925</v>
      </c>
      <c r="B1264" t="s">
        <v>59</v>
      </c>
      <c r="C1264">
        <v>2011</v>
      </c>
      <c r="D1264" t="s">
        <v>71</v>
      </c>
      <c r="E1264" t="s">
        <v>45</v>
      </c>
      <c r="F1264" t="s">
        <v>2533</v>
      </c>
      <c r="G1264">
        <v>100</v>
      </c>
      <c r="H1264" t="s">
        <v>56</v>
      </c>
      <c r="I1264" t="s">
        <v>21</v>
      </c>
      <c r="J1264" t="s">
        <v>101</v>
      </c>
      <c r="K1264" s="4">
        <v>6.06</v>
      </c>
      <c r="L1264" t="s">
        <v>2926</v>
      </c>
      <c r="M1264" s="1">
        <v>46063</v>
      </c>
      <c r="N1264" t="s">
        <v>75</v>
      </c>
      <c r="O1264" t="s">
        <v>51</v>
      </c>
    </row>
    <row r="1265" spans="1:15" x14ac:dyDescent="0.25">
      <c r="A1265" t="s">
        <v>428</v>
      </c>
      <c r="B1265" t="s">
        <v>59</v>
      </c>
      <c r="C1265">
        <v>2007</v>
      </c>
      <c r="D1265" t="s">
        <v>44</v>
      </c>
      <c r="E1265" t="s">
        <v>45</v>
      </c>
      <c r="F1265" t="s">
        <v>139</v>
      </c>
      <c r="G1265">
        <v>700</v>
      </c>
      <c r="H1265" t="s">
        <v>38</v>
      </c>
      <c r="I1265" t="s">
        <v>86</v>
      </c>
      <c r="J1265" t="s">
        <v>146</v>
      </c>
      <c r="K1265" s="4">
        <v>52.5</v>
      </c>
      <c r="L1265" t="s">
        <v>2927</v>
      </c>
      <c r="M1265" s="1">
        <v>46119</v>
      </c>
      <c r="N1265" t="s">
        <v>41</v>
      </c>
      <c r="O1265" t="s">
        <v>33</v>
      </c>
    </row>
    <row r="1266" spans="1:15" x14ac:dyDescent="0.25">
      <c r="A1266" t="s">
        <v>2928</v>
      </c>
      <c r="B1266" t="s">
        <v>77</v>
      </c>
      <c r="C1266">
        <v>2004</v>
      </c>
      <c r="D1266" t="s">
        <v>71</v>
      </c>
      <c r="E1266" t="s">
        <v>72</v>
      </c>
      <c r="F1266" t="s">
        <v>875</v>
      </c>
      <c r="G1266">
        <v>490</v>
      </c>
      <c r="H1266" t="s">
        <v>62</v>
      </c>
      <c r="I1266" t="s">
        <v>151</v>
      </c>
      <c r="J1266" t="s">
        <v>146</v>
      </c>
      <c r="K1266" s="4">
        <v>257.7</v>
      </c>
      <c r="L1266" t="s">
        <v>2929</v>
      </c>
      <c r="M1266" s="1">
        <v>46094</v>
      </c>
      <c r="N1266" t="s">
        <v>24</v>
      </c>
      <c r="O1266" t="s">
        <v>25</v>
      </c>
    </row>
    <row r="1267" spans="1:15" x14ac:dyDescent="0.25">
      <c r="A1267" t="s">
        <v>2930</v>
      </c>
      <c r="B1267" t="s">
        <v>134</v>
      </c>
      <c r="C1267">
        <v>2014</v>
      </c>
      <c r="D1267" t="s">
        <v>27</v>
      </c>
      <c r="E1267" t="s">
        <v>18</v>
      </c>
      <c r="F1267" t="s">
        <v>241</v>
      </c>
      <c r="G1267">
        <v>370</v>
      </c>
      <c r="H1267" t="s">
        <v>29</v>
      </c>
      <c r="I1267" t="s">
        <v>86</v>
      </c>
      <c r="J1267" t="s">
        <v>31</v>
      </c>
      <c r="K1267" s="4">
        <v>150.41</v>
      </c>
      <c r="L1267" t="s">
        <v>2931</v>
      </c>
      <c r="M1267" s="1">
        <v>46500</v>
      </c>
      <c r="N1267" t="s">
        <v>41</v>
      </c>
      <c r="O1267" t="s">
        <v>51</v>
      </c>
    </row>
    <row r="1268" spans="1:15" x14ac:dyDescent="0.25">
      <c r="A1268" t="s">
        <v>1220</v>
      </c>
      <c r="B1268" t="s">
        <v>134</v>
      </c>
      <c r="C1268">
        <v>1990</v>
      </c>
      <c r="D1268" t="s">
        <v>27</v>
      </c>
      <c r="E1268" t="s">
        <v>116</v>
      </c>
      <c r="F1268" t="s">
        <v>825</v>
      </c>
      <c r="G1268">
        <v>160</v>
      </c>
      <c r="H1268" t="s">
        <v>47</v>
      </c>
      <c r="I1268" t="s">
        <v>48</v>
      </c>
      <c r="J1268" t="s">
        <v>49</v>
      </c>
      <c r="K1268" s="4">
        <v>109.06</v>
      </c>
      <c r="L1268" t="s">
        <v>2932</v>
      </c>
      <c r="M1268" s="1">
        <v>46088</v>
      </c>
      <c r="N1268" t="s">
        <v>75</v>
      </c>
      <c r="O1268" t="s">
        <v>33</v>
      </c>
    </row>
    <row r="1269" spans="1:15" x14ac:dyDescent="0.25">
      <c r="A1269" t="s">
        <v>2933</v>
      </c>
      <c r="B1269" t="s">
        <v>16</v>
      </c>
      <c r="C1269">
        <v>1991</v>
      </c>
      <c r="D1269" t="s">
        <v>66</v>
      </c>
      <c r="E1269" t="s">
        <v>99</v>
      </c>
      <c r="F1269" t="s">
        <v>180</v>
      </c>
      <c r="G1269">
        <v>600</v>
      </c>
      <c r="H1269" t="s">
        <v>29</v>
      </c>
      <c r="I1269" t="s">
        <v>151</v>
      </c>
      <c r="J1269" t="s">
        <v>125</v>
      </c>
      <c r="K1269" s="4">
        <v>285.48</v>
      </c>
      <c r="L1269" t="s">
        <v>2934</v>
      </c>
      <c r="M1269" s="1">
        <v>46625</v>
      </c>
      <c r="N1269" t="s">
        <v>41</v>
      </c>
      <c r="O1269" t="s">
        <v>51</v>
      </c>
    </row>
    <row r="1270" spans="1:15" x14ac:dyDescent="0.25">
      <c r="A1270" t="s">
        <v>2935</v>
      </c>
      <c r="B1270" t="s">
        <v>16</v>
      </c>
      <c r="C1270">
        <v>1990</v>
      </c>
      <c r="D1270" t="s">
        <v>17</v>
      </c>
      <c r="E1270" t="s">
        <v>116</v>
      </c>
      <c r="F1270" t="s">
        <v>180</v>
      </c>
      <c r="G1270">
        <v>650</v>
      </c>
      <c r="H1270" t="s">
        <v>47</v>
      </c>
      <c r="I1270" t="s">
        <v>48</v>
      </c>
      <c r="J1270" t="s">
        <v>49</v>
      </c>
      <c r="K1270" s="4">
        <v>457.37</v>
      </c>
      <c r="L1270" t="s">
        <v>2936</v>
      </c>
      <c r="M1270" s="1">
        <v>46693</v>
      </c>
      <c r="N1270" t="s">
        <v>41</v>
      </c>
      <c r="O1270" t="s">
        <v>25</v>
      </c>
    </row>
    <row r="1271" spans="1:15" x14ac:dyDescent="0.25">
      <c r="A1271" t="s">
        <v>2937</v>
      </c>
      <c r="B1271" t="s">
        <v>77</v>
      </c>
      <c r="C1271">
        <v>2017</v>
      </c>
      <c r="D1271" t="s">
        <v>44</v>
      </c>
      <c r="E1271" t="s">
        <v>99</v>
      </c>
      <c r="F1271" t="s">
        <v>2938</v>
      </c>
      <c r="G1271">
        <v>40</v>
      </c>
      <c r="H1271" t="s">
        <v>38</v>
      </c>
      <c r="I1271" t="s">
        <v>21</v>
      </c>
      <c r="J1271" t="s">
        <v>49</v>
      </c>
      <c r="K1271" s="4">
        <v>58.29</v>
      </c>
      <c r="L1271" t="s">
        <v>2939</v>
      </c>
      <c r="M1271" s="1">
        <v>46909</v>
      </c>
      <c r="N1271" t="s">
        <v>75</v>
      </c>
      <c r="O1271" t="s">
        <v>25</v>
      </c>
    </row>
    <row r="1272" spans="1:15" x14ac:dyDescent="0.25">
      <c r="A1272" t="s">
        <v>2940</v>
      </c>
      <c r="B1272" t="s">
        <v>98</v>
      </c>
      <c r="C1272">
        <v>2024</v>
      </c>
      <c r="D1272" t="s">
        <v>44</v>
      </c>
      <c r="E1272" t="s">
        <v>104</v>
      </c>
      <c r="F1272" t="s">
        <v>296</v>
      </c>
      <c r="G1272">
        <v>410</v>
      </c>
      <c r="H1272" t="s">
        <v>62</v>
      </c>
      <c r="I1272" t="s">
        <v>186</v>
      </c>
      <c r="J1272" t="s">
        <v>49</v>
      </c>
      <c r="K1272" s="4">
        <v>297.86</v>
      </c>
      <c r="L1272" t="s">
        <v>2941</v>
      </c>
      <c r="M1272" s="1">
        <v>46266</v>
      </c>
      <c r="N1272" t="s">
        <v>41</v>
      </c>
      <c r="O1272" t="s">
        <v>51</v>
      </c>
    </row>
    <row r="1273" spans="1:15" x14ac:dyDescent="0.25">
      <c r="A1273" t="s">
        <v>2942</v>
      </c>
      <c r="B1273" t="s">
        <v>35</v>
      </c>
      <c r="C1273">
        <v>2006</v>
      </c>
      <c r="D1273" t="s">
        <v>83</v>
      </c>
      <c r="E1273" t="s">
        <v>54</v>
      </c>
      <c r="F1273" t="s">
        <v>444</v>
      </c>
      <c r="G1273">
        <v>490</v>
      </c>
      <c r="H1273" t="s">
        <v>85</v>
      </c>
      <c r="I1273" t="s">
        <v>21</v>
      </c>
      <c r="J1273" t="s">
        <v>31</v>
      </c>
      <c r="K1273" s="4">
        <v>436.32</v>
      </c>
      <c r="L1273" t="s">
        <v>2943</v>
      </c>
      <c r="M1273" s="1">
        <v>46818</v>
      </c>
      <c r="N1273" t="s">
        <v>75</v>
      </c>
      <c r="O1273" t="s">
        <v>51</v>
      </c>
    </row>
    <row r="1274" spans="1:15" x14ac:dyDescent="0.25">
      <c r="A1274" t="s">
        <v>2944</v>
      </c>
      <c r="B1274" t="s">
        <v>98</v>
      </c>
      <c r="C1274">
        <v>2019</v>
      </c>
      <c r="D1274" t="s">
        <v>71</v>
      </c>
      <c r="E1274" t="s">
        <v>45</v>
      </c>
      <c r="F1274" t="s">
        <v>2945</v>
      </c>
      <c r="G1274">
        <v>980</v>
      </c>
      <c r="H1274" t="s">
        <v>47</v>
      </c>
      <c r="I1274" t="s">
        <v>21</v>
      </c>
      <c r="J1274" t="s">
        <v>121</v>
      </c>
      <c r="K1274" s="4">
        <v>485.28</v>
      </c>
      <c r="L1274" t="s">
        <v>2946</v>
      </c>
      <c r="M1274" s="1">
        <v>46003</v>
      </c>
      <c r="N1274" t="s">
        <v>24</v>
      </c>
      <c r="O1274" t="s">
        <v>25</v>
      </c>
    </row>
    <row r="1275" spans="1:15" x14ac:dyDescent="0.25">
      <c r="A1275" t="s">
        <v>2947</v>
      </c>
      <c r="B1275" t="s">
        <v>43</v>
      </c>
      <c r="C1275">
        <v>2022</v>
      </c>
      <c r="D1275" t="s">
        <v>89</v>
      </c>
      <c r="E1275" t="s">
        <v>104</v>
      </c>
      <c r="F1275" t="s">
        <v>1806</v>
      </c>
      <c r="G1275">
        <v>600</v>
      </c>
      <c r="H1275" t="s">
        <v>56</v>
      </c>
      <c r="I1275" t="s">
        <v>21</v>
      </c>
      <c r="J1275" t="s">
        <v>110</v>
      </c>
      <c r="K1275" s="4">
        <v>429.9</v>
      </c>
      <c r="L1275" t="s">
        <v>2948</v>
      </c>
      <c r="M1275" s="1">
        <v>46257</v>
      </c>
      <c r="N1275" t="s">
        <v>24</v>
      </c>
      <c r="O1275" t="s">
        <v>25</v>
      </c>
    </row>
    <row r="1276" spans="1:15" x14ac:dyDescent="0.25">
      <c r="A1276" t="s">
        <v>2949</v>
      </c>
      <c r="B1276" t="s">
        <v>43</v>
      </c>
      <c r="C1276">
        <v>2009</v>
      </c>
      <c r="D1276" t="s">
        <v>89</v>
      </c>
      <c r="E1276" t="s">
        <v>99</v>
      </c>
      <c r="F1276" t="s">
        <v>2811</v>
      </c>
      <c r="G1276">
        <v>750</v>
      </c>
      <c r="H1276" t="s">
        <v>29</v>
      </c>
      <c r="I1276" t="s">
        <v>186</v>
      </c>
      <c r="J1276" t="s">
        <v>63</v>
      </c>
      <c r="K1276" s="4">
        <v>333.41</v>
      </c>
      <c r="L1276" t="s">
        <v>2950</v>
      </c>
      <c r="M1276" s="1">
        <v>45903</v>
      </c>
      <c r="N1276" t="s">
        <v>41</v>
      </c>
      <c r="O1276" t="s">
        <v>51</v>
      </c>
    </row>
    <row r="1277" spans="1:15" x14ac:dyDescent="0.25">
      <c r="A1277" t="s">
        <v>2951</v>
      </c>
      <c r="B1277" t="s">
        <v>70</v>
      </c>
      <c r="C1277">
        <v>2009</v>
      </c>
      <c r="D1277" t="s">
        <v>17</v>
      </c>
      <c r="E1277" t="s">
        <v>119</v>
      </c>
      <c r="F1277" t="s">
        <v>1131</v>
      </c>
      <c r="G1277">
        <v>400</v>
      </c>
      <c r="H1277" t="s">
        <v>29</v>
      </c>
      <c r="I1277" t="s">
        <v>151</v>
      </c>
      <c r="J1277" t="s">
        <v>31</v>
      </c>
      <c r="K1277" s="4">
        <v>433.02</v>
      </c>
      <c r="L1277" t="s">
        <v>2952</v>
      </c>
      <c r="M1277" s="1">
        <v>46328</v>
      </c>
      <c r="N1277" t="s">
        <v>24</v>
      </c>
      <c r="O1277" t="s">
        <v>25</v>
      </c>
    </row>
    <row r="1278" spans="1:15" x14ac:dyDescent="0.25">
      <c r="A1278" t="s">
        <v>2953</v>
      </c>
      <c r="B1278" t="s">
        <v>98</v>
      </c>
      <c r="C1278">
        <v>1999</v>
      </c>
      <c r="D1278" t="s">
        <v>36</v>
      </c>
      <c r="E1278" t="s">
        <v>45</v>
      </c>
      <c r="F1278" t="s">
        <v>250</v>
      </c>
      <c r="G1278">
        <v>70</v>
      </c>
      <c r="H1278" t="s">
        <v>85</v>
      </c>
      <c r="I1278" t="s">
        <v>86</v>
      </c>
      <c r="J1278" t="s">
        <v>63</v>
      </c>
      <c r="K1278" s="4">
        <v>104.07</v>
      </c>
      <c r="L1278" t="s">
        <v>2954</v>
      </c>
      <c r="M1278" s="1">
        <v>46193</v>
      </c>
      <c r="N1278" t="s">
        <v>41</v>
      </c>
      <c r="O1278" t="s">
        <v>51</v>
      </c>
    </row>
    <row r="1279" spans="1:15" x14ac:dyDescent="0.25">
      <c r="A1279" t="s">
        <v>2955</v>
      </c>
      <c r="B1279" t="s">
        <v>16</v>
      </c>
      <c r="C1279">
        <v>2004</v>
      </c>
      <c r="D1279" t="s">
        <v>66</v>
      </c>
      <c r="E1279" t="s">
        <v>78</v>
      </c>
      <c r="F1279" t="s">
        <v>120</v>
      </c>
      <c r="G1279">
        <v>950</v>
      </c>
      <c r="H1279" t="s">
        <v>20</v>
      </c>
      <c r="I1279" t="s">
        <v>39</v>
      </c>
      <c r="J1279" t="s">
        <v>110</v>
      </c>
      <c r="K1279" s="4">
        <v>325.27</v>
      </c>
      <c r="L1279" t="s">
        <v>2956</v>
      </c>
      <c r="M1279" s="1">
        <v>45911</v>
      </c>
      <c r="N1279" t="s">
        <v>24</v>
      </c>
      <c r="O1279" t="s">
        <v>33</v>
      </c>
    </row>
    <row r="1280" spans="1:15" x14ac:dyDescent="0.25">
      <c r="A1280" t="s">
        <v>1364</v>
      </c>
      <c r="B1280" t="s">
        <v>138</v>
      </c>
      <c r="C1280">
        <v>1991</v>
      </c>
      <c r="D1280" t="s">
        <v>27</v>
      </c>
      <c r="E1280" t="s">
        <v>45</v>
      </c>
      <c r="F1280" t="s">
        <v>67</v>
      </c>
      <c r="G1280">
        <v>300</v>
      </c>
      <c r="H1280" t="s">
        <v>85</v>
      </c>
      <c r="I1280" t="s">
        <v>186</v>
      </c>
      <c r="J1280" t="s">
        <v>146</v>
      </c>
      <c r="K1280" s="4">
        <v>387.9</v>
      </c>
      <c r="L1280" t="s">
        <v>2957</v>
      </c>
      <c r="M1280" s="1">
        <v>46221</v>
      </c>
      <c r="N1280" t="s">
        <v>41</v>
      </c>
      <c r="O1280" t="s">
        <v>51</v>
      </c>
    </row>
    <row r="1281" spans="1:15" x14ac:dyDescent="0.25">
      <c r="A1281" t="s">
        <v>2958</v>
      </c>
      <c r="B1281" t="s">
        <v>138</v>
      </c>
      <c r="C1281">
        <v>2017</v>
      </c>
      <c r="D1281" t="s">
        <v>95</v>
      </c>
      <c r="E1281" t="s">
        <v>104</v>
      </c>
      <c r="F1281" t="s">
        <v>67</v>
      </c>
      <c r="G1281">
        <v>850</v>
      </c>
      <c r="H1281" t="s">
        <v>38</v>
      </c>
      <c r="I1281" t="s">
        <v>48</v>
      </c>
      <c r="J1281" t="s">
        <v>31</v>
      </c>
      <c r="K1281" s="4">
        <v>108.13</v>
      </c>
      <c r="L1281" t="s">
        <v>2959</v>
      </c>
      <c r="M1281" s="1">
        <v>46487</v>
      </c>
      <c r="N1281" t="s">
        <v>41</v>
      </c>
      <c r="O1281" t="s">
        <v>51</v>
      </c>
    </row>
    <row r="1282" spans="1:15" x14ac:dyDescent="0.25">
      <c r="A1282" t="s">
        <v>2960</v>
      </c>
      <c r="B1282" t="s">
        <v>77</v>
      </c>
      <c r="C1282">
        <v>2016</v>
      </c>
      <c r="D1282" t="s">
        <v>71</v>
      </c>
      <c r="E1282" t="s">
        <v>72</v>
      </c>
      <c r="F1282" t="s">
        <v>2961</v>
      </c>
      <c r="G1282">
        <v>470</v>
      </c>
      <c r="H1282" t="s">
        <v>20</v>
      </c>
      <c r="I1282" t="s">
        <v>21</v>
      </c>
      <c r="J1282" t="s">
        <v>110</v>
      </c>
      <c r="K1282" s="4">
        <v>153.01</v>
      </c>
      <c r="L1282" t="s">
        <v>2962</v>
      </c>
      <c r="M1282" s="1">
        <v>46346</v>
      </c>
      <c r="N1282" t="s">
        <v>41</v>
      </c>
      <c r="O1282" t="s">
        <v>51</v>
      </c>
    </row>
    <row r="1283" spans="1:15" x14ac:dyDescent="0.25">
      <c r="A1283" t="s">
        <v>2963</v>
      </c>
      <c r="B1283" t="s">
        <v>53</v>
      </c>
      <c r="C1283">
        <v>1991</v>
      </c>
      <c r="D1283" t="s">
        <v>83</v>
      </c>
      <c r="E1283" t="s">
        <v>119</v>
      </c>
      <c r="F1283" t="s">
        <v>208</v>
      </c>
      <c r="G1283">
        <v>110</v>
      </c>
      <c r="H1283" t="s">
        <v>20</v>
      </c>
      <c r="I1283" t="s">
        <v>80</v>
      </c>
      <c r="J1283" t="s">
        <v>121</v>
      </c>
      <c r="K1283" s="4">
        <v>19.12</v>
      </c>
      <c r="L1283" t="s">
        <v>2964</v>
      </c>
      <c r="M1283" s="1">
        <v>46081</v>
      </c>
      <c r="N1283" t="s">
        <v>24</v>
      </c>
      <c r="O1283" t="s">
        <v>51</v>
      </c>
    </row>
    <row r="1284" spans="1:15" x14ac:dyDescent="0.25">
      <c r="A1284" t="s">
        <v>2965</v>
      </c>
      <c r="B1284" t="s">
        <v>138</v>
      </c>
      <c r="C1284">
        <v>2009</v>
      </c>
      <c r="D1284" t="s">
        <v>95</v>
      </c>
      <c r="E1284" t="s">
        <v>54</v>
      </c>
      <c r="F1284" t="s">
        <v>1026</v>
      </c>
      <c r="G1284">
        <v>100</v>
      </c>
      <c r="H1284" t="s">
        <v>85</v>
      </c>
      <c r="I1284" t="s">
        <v>48</v>
      </c>
      <c r="J1284" t="s">
        <v>121</v>
      </c>
      <c r="K1284" s="4">
        <v>485.92</v>
      </c>
      <c r="L1284" t="s">
        <v>2966</v>
      </c>
      <c r="M1284" s="1">
        <v>46756</v>
      </c>
      <c r="N1284" t="s">
        <v>41</v>
      </c>
      <c r="O1284" t="s">
        <v>51</v>
      </c>
    </row>
    <row r="1285" spans="1:15" x14ac:dyDescent="0.25">
      <c r="A1285" t="s">
        <v>2967</v>
      </c>
      <c r="B1285" t="s">
        <v>53</v>
      </c>
      <c r="C1285">
        <v>2002</v>
      </c>
      <c r="D1285" t="s">
        <v>71</v>
      </c>
      <c r="E1285" t="s">
        <v>78</v>
      </c>
      <c r="F1285" t="s">
        <v>162</v>
      </c>
      <c r="G1285">
        <v>880</v>
      </c>
      <c r="H1285" t="s">
        <v>56</v>
      </c>
      <c r="I1285" t="s">
        <v>21</v>
      </c>
      <c r="J1285" t="s">
        <v>125</v>
      </c>
      <c r="K1285" s="4">
        <v>426.3</v>
      </c>
      <c r="L1285" t="s">
        <v>2968</v>
      </c>
      <c r="M1285" s="1">
        <v>46230</v>
      </c>
      <c r="N1285" t="s">
        <v>41</v>
      </c>
      <c r="O1285" t="s">
        <v>33</v>
      </c>
    </row>
    <row r="1286" spans="1:15" x14ac:dyDescent="0.25">
      <c r="A1286" t="s">
        <v>2969</v>
      </c>
      <c r="B1286" t="s">
        <v>98</v>
      </c>
      <c r="C1286">
        <v>2004</v>
      </c>
      <c r="D1286" t="s">
        <v>83</v>
      </c>
      <c r="E1286" t="s">
        <v>78</v>
      </c>
      <c r="F1286" t="s">
        <v>2970</v>
      </c>
      <c r="G1286">
        <v>250</v>
      </c>
      <c r="H1286" t="s">
        <v>29</v>
      </c>
      <c r="I1286" t="s">
        <v>48</v>
      </c>
      <c r="J1286" t="s">
        <v>125</v>
      </c>
      <c r="K1286" s="4">
        <v>497.23</v>
      </c>
      <c r="L1286" t="s">
        <v>2971</v>
      </c>
      <c r="M1286" s="1">
        <v>46155</v>
      </c>
      <c r="N1286" t="s">
        <v>41</v>
      </c>
      <c r="O1286" t="s">
        <v>33</v>
      </c>
    </row>
    <row r="1287" spans="1:15" x14ac:dyDescent="0.25">
      <c r="A1287" t="s">
        <v>2972</v>
      </c>
      <c r="B1287" t="s">
        <v>70</v>
      </c>
      <c r="C1287">
        <v>1991</v>
      </c>
      <c r="D1287" t="s">
        <v>36</v>
      </c>
      <c r="E1287" t="s">
        <v>116</v>
      </c>
      <c r="F1287" t="s">
        <v>67</v>
      </c>
      <c r="G1287">
        <v>690</v>
      </c>
      <c r="H1287" t="s">
        <v>47</v>
      </c>
      <c r="I1287" t="s">
        <v>48</v>
      </c>
      <c r="J1287" t="s">
        <v>31</v>
      </c>
      <c r="K1287" s="4">
        <v>47.78</v>
      </c>
      <c r="L1287" t="s">
        <v>2973</v>
      </c>
      <c r="M1287" s="1">
        <v>45875</v>
      </c>
      <c r="N1287" t="s">
        <v>41</v>
      </c>
      <c r="O1287" t="s">
        <v>25</v>
      </c>
    </row>
    <row r="1288" spans="1:15" x14ac:dyDescent="0.25">
      <c r="A1288" t="s">
        <v>2974</v>
      </c>
      <c r="B1288" t="s">
        <v>16</v>
      </c>
      <c r="C1288">
        <v>2017</v>
      </c>
      <c r="D1288" t="s">
        <v>95</v>
      </c>
      <c r="E1288" t="s">
        <v>99</v>
      </c>
      <c r="F1288" t="s">
        <v>2181</v>
      </c>
      <c r="G1288">
        <v>890</v>
      </c>
      <c r="H1288" t="s">
        <v>20</v>
      </c>
      <c r="I1288" t="s">
        <v>91</v>
      </c>
      <c r="J1288" t="s">
        <v>49</v>
      </c>
      <c r="K1288" s="4">
        <v>332.48</v>
      </c>
      <c r="L1288" t="s">
        <v>2975</v>
      </c>
      <c r="M1288" s="1">
        <v>46047</v>
      </c>
      <c r="N1288" t="s">
        <v>75</v>
      </c>
      <c r="O1288" t="s">
        <v>25</v>
      </c>
    </row>
    <row r="1289" spans="1:15" x14ac:dyDescent="0.25">
      <c r="A1289" t="s">
        <v>819</v>
      </c>
      <c r="B1289" t="s">
        <v>16</v>
      </c>
      <c r="C1289">
        <v>2023</v>
      </c>
      <c r="D1289" t="s">
        <v>17</v>
      </c>
      <c r="E1289" t="s">
        <v>119</v>
      </c>
      <c r="F1289" t="s">
        <v>180</v>
      </c>
      <c r="G1289">
        <v>60</v>
      </c>
      <c r="H1289" t="s">
        <v>29</v>
      </c>
      <c r="I1289" t="s">
        <v>21</v>
      </c>
      <c r="J1289" t="s">
        <v>22</v>
      </c>
      <c r="K1289" s="4">
        <v>385.7</v>
      </c>
      <c r="L1289" t="s">
        <v>2976</v>
      </c>
      <c r="M1289" s="1">
        <v>46371</v>
      </c>
      <c r="N1289" t="s">
        <v>41</v>
      </c>
      <c r="O1289" t="s">
        <v>25</v>
      </c>
    </row>
    <row r="1290" spans="1:15" x14ac:dyDescent="0.25">
      <c r="A1290" t="s">
        <v>2418</v>
      </c>
      <c r="B1290" t="s">
        <v>70</v>
      </c>
      <c r="C1290">
        <v>2016</v>
      </c>
      <c r="D1290" t="s">
        <v>27</v>
      </c>
      <c r="E1290" t="s">
        <v>18</v>
      </c>
      <c r="F1290" t="s">
        <v>365</v>
      </c>
      <c r="G1290">
        <v>110</v>
      </c>
      <c r="H1290" t="s">
        <v>47</v>
      </c>
      <c r="I1290" t="s">
        <v>21</v>
      </c>
      <c r="J1290" t="s">
        <v>110</v>
      </c>
      <c r="K1290" s="4">
        <v>25.01</v>
      </c>
      <c r="L1290" t="s">
        <v>2977</v>
      </c>
      <c r="M1290" s="1">
        <v>46432</v>
      </c>
      <c r="N1290" t="s">
        <v>75</v>
      </c>
      <c r="O1290" t="s">
        <v>33</v>
      </c>
    </row>
    <row r="1291" spans="1:15" x14ac:dyDescent="0.25">
      <c r="A1291" t="s">
        <v>2978</v>
      </c>
      <c r="B1291" t="s">
        <v>70</v>
      </c>
      <c r="C1291">
        <v>2013</v>
      </c>
      <c r="D1291" t="s">
        <v>66</v>
      </c>
      <c r="E1291" t="s">
        <v>54</v>
      </c>
      <c r="F1291" t="s">
        <v>2155</v>
      </c>
      <c r="G1291">
        <v>50</v>
      </c>
      <c r="H1291" t="s">
        <v>29</v>
      </c>
      <c r="I1291" t="s">
        <v>21</v>
      </c>
      <c r="J1291" t="s">
        <v>125</v>
      </c>
      <c r="K1291" s="4">
        <v>338.29</v>
      </c>
      <c r="L1291" t="s">
        <v>2979</v>
      </c>
      <c r="M1291" s="1">
        <v>46748</v>
      </c>
      <c r="N1291" t="s">
        <v>41</v>
      </c>
      <c r="O1291" t="s">
        <v>25</v>
      </c>
    </row>
    <row r="1292" spans="1:15" x14ac:dyDescent="0.25">
      <c r="A1292" t="s">
        <v>2980</v>
      </c>
      <c r="B1292" t="s">
        <v>98</v>
      </c>
      <c r="C1292">
        <v>2015</v>
      </c>
      <c r="D1292" t="s">
        <v>71</v>
      </c>
      <c r="E1292" t="s">
        <v>54</v>
      </c>
      <c r="F1292" t="s">
        <v>805</v>
      </c>
      <c r="G1292">
        <v>970</v>
      </c>
      <c r="H1292" t="s">
        <v>56</v>
      </c>
      <c r="I1292" t="s">
        <v>186</v>
      </c>
      <c r="J1292" t="s">
        <v>63</v>
      </c>
      <c r="K1292" s="4">
        <v>463.23</v>
      </c>
      <c r="L1292" t="s">
        <v>2981</v>
      </c>
      <c r="M1292" s="1">
        <v>46361</v>
      </c>
      <c r="N1292" t="s">
        <v>75</v>
      </c>
      <c r="O1292" t="s">
        <v>33</v>
      </c>
    </row>
    <row r="1293" spans="1:15" x14ac:dyDescent="0.25">
      <c r="A1293" t="s">
        <v>2982</v>
      </c>
      <c r="B1293" t="s">
        <v>98</v>
      </c>
      <c r="C1293">
        <v>1993</v>
      </c>
      <c r="D1293" t="s">
        <v>44</v>
      </c>
      <c r="E1293" t="s">
        <v>116</v>
      </c>
      <c r="F1293" t="s">
        <v>2835</v>
      </c>
      <c r="G1293">
        <v>660</v>
      </c>
      <c r="H1293" t="s">
        <v>56</v>
      </c>
      <c r="I1293" t="s">
        <v>48</v>
      </c>
      <c r="J1293" t="s">
        <v>121</v>
      </c>
      <c r="K1293" s="4">
        <v>57.48</v>
      </c>
      <c r="L1293" t="s">
        <v>2983</v>
      </c>
      <c r="M1293" s="1">
        <v>46451</v>
      </c>
      <c r="N1293" t="s">
        <v>24</v>
      </c>
      <c r="O1293" t="s">
        <v>25</v>
      </c>
    </row>
    <row r="1294" spans="1:15" x14ac:dyDescent="0.25">
      <c r="A1294" t="s">
        <v>2984</v>
      </c>
      <c r="B1294" t="s">
        <v>35</v>
      </c>
      <c r="C1294">
        <v>2024</v>
      </c>
      <c r="D1294" t="s">
        <v>95</v>
      </c>
      <c r="E1294" t="s">
        <v>119</v>
      </c>
      <c r="F1294" t="s">
        <v>79</v>
      </c>
      <c r="G1294">
        <v>240</v>
      </c>
      <c r="H1294" t="s">
        <v>38</v>
      </c>
      <c r="I1294" t="s">
        <v>91</v>
      </c>
      <c r="J1294" t="s">
        <v>49</v>
      </c>
      <c r="K1294" s="4">
        <v>260.89</v>
      </c>
      <c r="L1294" t="s">
        <v>2985</v>
      </c>
      <c r="M1294" s="1">
        <v>46894</v>
      </c>
      <c r="N1294" t="s">
        <v>75</v>
      </c>
      <c r="O1294" t="s">
        <v>51</v>
      </c>
    </row>
    <row r="1295" spans="1:15" x14ac:dyDescent="0.25">
      <c r="A1295" t="s">
        <v>2986</v>
      </c>
      <c r="B1295" t="s">
        <v>134</v>
      </c>
      <c r="C1295">
        <v>2001</v>
      </c>
      <c r="D1295" t="s">
        <v>95</v>
      </c>
      <c r="E1295" t="s">
        <v>18</v>
      </c>
      <c r="F1295" t="s">
        <v>2987</v>
      </c>
      <c r="G1295">
        <v>470</v>
      </c>
      <c r="H1295" t="s">
        <v>62</v>
      </c>
      <c r="I1295" t="s">
        <v>48</v>
      </c>
      <c r="J1295" t="s">
        <v>49</v>
      </c>
      <c r="K1295" s="4">
        <v>65.89</v>
      </c>
      <c r="L1295" t="s">
        <v>2988</v>
      </c>
      <c r="M1295" s="1">
        <v>46608</v>
      </c>
      <c r="N1295" t="s">
        <v>24</v>
      </c>
      <c r="O1295" t="s">
        <v>25</v>
      </c>
    </row>
    <row r="1296" spans="1:15" x14ac:dyDescent="0.25">
      <c r="A1296" t="s">
        <v>2989</v>
      </c>
      <c r="B1296" t="s">
        <v>59</v>
      </c>
      <c r="C1296">
        <v>1999</v>
      </c>
      <c r="D1296" t="s">
        <v>44</v>
      </c>
      <c r="E1296" t="s">
        <v>60</v>
      </c>
      <c r="F1296" t="s">
        <v>2990</v>
      </c>
      <c r="G1296">
        <v>670</v>
      </c>
      <c r="H1296" t="s">
        <v>62</v>
      </c>
      <c r="I1296" t="s">
        <v>21</v>
      </c>
      <c r="J1296" t="s">
        <v>146</v>
      </c>
      <c r="K1296" s="4">
        <v>48.39</v>
      </c>
      <c r="L1296" t="s">
        <v>2991</v>
      </c>
      <c r="M1296" s="1">
        <v>46142</v>
      </c>
      <c r="N1296" t="s">
        <v>24</v>
      </c>
      <c r="O1296" t="s">
        <v>51</v>
      </c>
    </row>
    <row r="1297" spans="1:15" x14ac:dyDescent="0.25">
      <c r="A1297" t="s">
        <v>2992</v>
      </c>
      <c r="B1297" t="s">
        <v>134</v>
      </c>
      <c r="C1297">
        <v>2024</v>
      </c>
      <c r="D1297" t="s">
        <v>95</v>
      </c>
      <c r="E1297" t="s">
        <v>72</v>
      </c>
      <c r="F1297" t="s">
        <v>375</v>
      </c>
      <c r="G1297">
        <v>580</v>
      </c>
      <c r="H1297" t="s">
        <v>85</v>
      </c>
      <c r="I1297" t="s">
        <v>21</v>
      </c>
      <c r="J1297" t="s">
        <v>110</v>
      </c>
      <c r="K1297" s="4">
        <v>445.28</v>
      </c>
      <c r="L1297" t="s">
        <v>2993</v>
      </c>
      <c r="M1297" s="1">
        <v>46015</v>
      </c>
      <c r="N1297" t="s">
        <v>75</v>
      </c>
      <c r="O1297" t="s">
        <v>33</v>
      </c>
    </row>
    <row r="1298" spans="1:15" x14ac:dyDescent="0.25">
      <c r="A1298" t="s">
        <v>2994</v>
      </c>
      <c r="B1298" t="s">
        <v>35</v>
      </c>
      <c r="C1298">
        <v>2004</v>
      </c>
      <c r="D1298" t="s">
        <v>44</v>
      </c>
      <c r="E1298" t="s">
        <v>99</v>
      </c>
      <c r="F1298" t="s">
        <v>139</v>
      </c>
      <c r="G1298">
        <v>290</v>
      </c>
      <c r="H1298" t="s">
        <v>20</v>
      </c>
      <c r="I1298" t="s">
        <v>80</v>
      </c>
      <c r="J1298" t="s">
        <v>110</v>
      </c>
      <c r="K1298" s="4">
        <v>153.12</v>
      </c>
      <c r="L1298" t="s">
        <v>2995</v>
      </c>
      <c r="M1298" s="1">
        <v>46374</v>
      </c>
      <c r="N1298" t="s">
        <v>75</v>
      </c>
      <c r="O1298" t="s">
        <v>25</v>
      </c>
    </row>
    <row r="1299" spans="1:15" x14ac:dyDescent="0.25">
      <c r="A1299" t="s">
        <v>2969</v>
      </c>
      <c r="B1299" t="s">
        <v>35</v>
      </c>
      <c r="C1299">
        <v>2014</v>
      </c>
      <c r="D1299" t="s">
        <v>44</v>
      </c>
      <c r="E1299" t="s">
        <v>54</v>
      </c>
      <c r="F1299" t="s">
        <v>885</v>
      </c>
      <c r="G1299">
        <v>230</v>
      </c>
      <c r="H1299" t="s">
        <v>20</v>
      </c>
      <c r="I1299" t="s">
        <v>80</v>
      </c>
      <c r="J1299" t="s">
        <v>101</v>
      </c>
      <c r="K1299" s="4">
        <v>221.68</v>
      </c>
      <c r="L1299" t="s">
        <v>2996</v>
      </c>
      <c r="M1299" s="1">
        <v>46816</v>
      </c>
      <c r="N1299" t="s">
        <v>41</v>
      </c>
      <c r="O1299" t="s">
        <v>25</v>
      </c>
    </row>
    <row r="1300" spans="1:15" x14ac:dyDescent="0.25">
      <c r="A1300" t="s">
        <v>2997</v>
      </c>
      <c r="B1300" t="s">
        <v>35</v>
      </c>
      <c r="C1300">
        <v>2017</v>
      </c>
      <c r="D1300" t="s">
        <v>95</v>
      </c>
      <c r="E1300" t="s">
        <v>116</v>
      </c>
      <c r="F1300" t="s">
        <v>28</v>
      </c>
      <c r="G1300">
        <v>40</v>
      </c>
      <c r="H1300" t="s">
        <v>29</v>
      </c>
      <c r="I1300" t="s">
        <v>86</v>
      </c>
      <c r="J1300" t="s">
        <v>31</v>
      </c>
      <c r="K1300" s="4">
        <v>119.11</v>
      </c>
      <c r="L1300" t="s">
        <v>2998</v>
      </c>
      <c r="M1300" s="1">
        <v>46204</v>
      </c>
      <c r="N1300" t="s">
        <v>75</v>
      </c>
      <c r="O1300" t="s">
        <v>33</v>
      </c>
    </row>
    <row r="1301" spans="1:15" x14ac:dyDescent="0.25">
      <c r="A1301" t="s">
        <v>2999</v>
      </c>
      <c r="B1301" t="s">
        <v>53</v>
      </c>
      <c r="C1301">
        <v>2013</v>
      </c>
      <c r="D1301" t="s">
        <v>95</v>
      </c>
      <c r="E1301" t="s">
        <v>18</v>
      </c>
      <c r="F1301" t="s">
        <v>722</v>
      </c>
      <c r="G1301">
        <v>470</v>
      </c>
      <c r="H1301" t="s">
        <v>38</v>
      </c>
      <c r="I1301" t="s">
        <v>91</v>
      </c>
      <c r="J1301" t="s">
        <v>110</v>
      </c>
      <c r="K1301" s="4">
        <v>227.71</v>
      </c>
      <c r="L1301" t="s">
        <v>3000</v>
      </c>
      <c r="M1301" s="1">
        <v>46841</v>
      </c>
      <c r="N1301" t="s">
        <v>41</v>
      </c>
      <c r="O1301" t="s">
        <v>33</v>
      </c>
    </row>
    <row r="1302" spans="1:15" x14ac:dyDescent="0.25">
      <c r="A1302" t="s">
        <v>3001</v>
      </c>
      <c r="B1302" t="s">
        <v>16</v>
      </c>
      <c r="C1302">
        <v>2009</v>
      </c>
      <c r="D1302" t="s">
        <v>71</v>
      </c>
      <c r="E1302" t="s">
        <v>104</v>
      </c>
      <c r="F1302" t="s">
        <v>851</v>
      </c>
      <c r="G1302">
        <v>750</v>
      </c>
      <c r="H1302" t="s">
        <v>38</v>
      </c>
      <c r="I1302" t="s">
        <v>48</v>
      </c>
      <c r="J1302" t="s">
        <v>110</v>
      </c>
      <c r="K1302" s="4">
        <v>276.25</v>
      </c>
      <c r="L1302" t="s">
        <v>3002</v>
      </c>
      <c r="M1302" s="1">
        <v>46042</v>
      </c>
      <c r="N1302" t="s">
        <v>75</v>
      </c>
      <c r="O1302" t="s">
        <v>25</v>
      </c>
    </row>
    <row r="1303" spans="1:15" x14ac:dyDescent="0.25">
      <c r="A1303" t="s">
        <v>3003</v>
      </c>
      <c r="B1303" t="s">
        <v>35</v>
      </c>
      <c r="C1303">
        <v>1993</v>
      </c>
      <c r="D1303" t="s">
        <v>108</v>
      </c>
      <c r="E1303" t="s">
        <v>116</v>
      </c>
      <c r="F1303" t="s">
        <v>2174</v>
      </c>
      <c r="G1303">
        <v>250</v>
      </c>
      <c r="H1303" t="s">
        <v>85</v>
      </c>
      <c r="I1303" t="s">
        <v>30</v>
      </c>
      <c r="J1303" t="s">
        <v>63</v>
      </c>
      <c r="K1303" s="4">
        <v>344.53</v>
      </c>
      <c r="L1303" t="s">
        <v>3004</v>
      </c>
      <c r="M1303" s="1">
        <v>46900</v>
      </c>
      <c r="N1303" t="s">
        <v>41</v>
      </c>
      <c r="O1303" t="s">
        <v>33</v>
      </c>
    </row>
    <row r="1304" spans="1:15" x14ac:dyDescent="0.25">
      <c r="A1304" t="s">
        <v>3005</v>
      </c>
      <c r="B1304" t="s">
        <v>77</v>
      </c>
      <c r="C1304">
        <v>2018</v>
      </c>
      <c r="D1304" t="s">
        <v>66</v>
      </c>
      <c r="E1304" t="s">
        <v>116</v>
      </c>
      <c r="F1304" t="s">
        <v>145</v>
      </c>
      <c r="G1304">
        <v>270</v>
      </c>
      <c r="H1304" t="s">
        <v>47</v>
      </c>
      <c r="I1304" t="s">
        <v>30</v>
      </c>
      <c r="J1304" t="s">
        <v>125</v>
      </c>
      <c r="K1304" s="4">
        <v>75.459999999999994</v>
      </c>
      <c r="L1304" t="s">
        <v>3006</v>
      </c>
      <c r="M1304" s="1">
        <v>46887</v>
      </c>
      <c r="N1304" t="s">
        <v>24</v>
      </c>
      <c r="O1304" t="s">
        <v>25</v>
      </c>
    </row>
    <row r="1305" spans="1:15" x14ac:dyDescent="0.25">
      <c r="A1305" t="s">
        <v>853</v>
      </c>
      <c r="B1305" t="s">
        <v>35</v>
      </c>
      <c r="C1305">
        <v>2000</v>
      </c>
      <c r="D1305" t="s">
        <v>27</v>
      </c>
      <c r="E1305" t="s">
        <v>45</v>
      </c>
      <c r="F1305" t="s">
        <v>145</v>
      </c>
      <c r="G1305">
        <v>540</v>
      </c>
      <c r="H1305" t="s">
        <v>56</v>
      </c>
      <c r="I1305" t="s">
        <v>48</v>
      </c>
      <c r="J1305" t="s">
        <v>63</v>
      </c>
      <c r="K1305" s="4">
        <v>79.81</v>
      </c>
      <c r="L1305" t="s">
        <v>3007</v>
      </c>
      <c r="M1305" s="1">
        <v>46604</v>
      </c>
      <c r="N1305" t="s">
        <v>24</v>
      </c>
      <c r="O1305" t="s">
        <v>33</v>
      </c>
    </row>
    <row r="1306" spans="1:15" x14ac:dyDescent="0.25">
      <c r="A1306" t="s">
        <v>3008</v>
      </c>
      <c r="B1306" t="s">
        <v>59</v>
      </c>
      <c r="C1306">
        <v>1995</v>
      </c>
      <c r="D1306" t="s">
        <v>95</v>
      </c>
      <c r="E1306" t="s">
        <v>54</v>
      </c>
      <c r="F1306" t="s">
        <v>3009</v>
      </c>
      <c r="G1306">
        <v>160</v>
      </c>
      <c r="H1306" t="s">
        <v>20</v>
      </c>
      <c r="I1306" t="s">
        <v>151</v>
      </c>
      <c r="J1306" t="s">
        <v>63</v>
      </c>
      <c r="K1306" s="4">
        <v>345.53</v>
      </c>
      <c r="L1306" t="s">
        <v>3010</v>
      </c>
      <c r="M1306" s="1">
        <v>46909</v>
      </c>
      <c r="N1306" t="s">
        <v>24</v>
      </c>
      <c r="O1306" t="s">
        <v>33</v>
      </c>
    </row>
    <row r="1307" spans="1:15" x14ac:dyDescent="0.25">
      <c r="A1307" t="s">
        <v>3011</v>
      </c>
      <c r="B1307" t="s">
        <v>70</v>
      </c>
      <c r="C1307">
        <v>2006</v>
      </c>
      <c r="D1307" t="s">
        <v>36</v>
      </c>
      <c r="E1307" t="s">
        <v>78</v>
      </c>
      <c r="F1307" t="s">
        <v>2174</v>
      </c>
      <c r="G1307">
        <v>320</v>
      </c>
      <c r="H1307" t="s">
        <v>38</v>
      </c>
      <c r="I1307" t="s">
        <v>30</v>
      </c>
      <c r="J1307" t="s">
        <v>49</v>
      </c>
      <c r="K1307" s="4">
        <v>120.3</v>
      </c>
      <c r="L1307" t="s">
        <v>3012</v>
      </c>
      <c r="M1307" s="1">
        <v>46601</v>
      </c>
      <c r="N1307" t="s">
        <v>24</v>
      </c>
      <c r="O1307" t="s">
        <v>51</v>
      </c>
    </row>
    <row r="1308" spans="1:15" x14ac:dyDescent="0.25">
      <c r="A1308" t="s">
        <v>3013</v>
      </c>
      <c r="B1308" t="s">
        <v>70</v>
      </c>
      <c r="C1308">
        <v>2014</v>
      </c>
      <c r="D1308" t="s">
        <v>108</v>
      </c>
      <c r="E1308" t="s">
        <v>116</v>
      </c>
      <c r="F1308" t="s">
        <v>1002</v>
      </c>
      <c r="G1308">
        <v>350</v>
      </c>
      <c r="H1308" t="s">
        <v>47</v>
      </c>
      <c r="I1308" t="s">
        <v>151</v>
      </c>
      <c r="J1308" t="s">
        <v>22</v>
      </c>
      <c r="K1308" s="4">
        <v>44.41</v>
      </c>
      <c r="L1308" t="s">
        <v>3014</v>
      </c>
      <c r="M1308" s="1">
        <v>45930</v>
      </c>
      <c r="N1308" t="s">
        <v>24</v>
      </c>
      <c r="O1308" t="s">
        <v>51</v>
      </c>
    </row>
    <row r="1309" spans="1:15" x14ac:dyDescent="0.25">
      <c r="A1309" t="s">
        <v>3015</v>
      </c>
      <c r="B1309" t="s">
        <v>77</v>
      </c>
      <c r="C1309">
        <v>2009</v>
      </c>
      <c r="D1309" t="s">
        <v>83</v>
      </c>
      <c r="E1309" t="s">
        <v>45</v>
      </c>
      <c r="F1309" t="s">
        <v>815</v>
      </c>
      <c r="G1309">
        <v>450</v>
      </c>
      <c r="H1309" t="s">
        <v>20</v>
      </c>
      <c r="I1309" t="s">
        <v>48</v>
      </c>
      <c r="J1309" t="s">
        <v>146</v>
      </c>
      <c r="K1309" s="4">
        <v>181.5</v>
      </c>
      <c r="L1309" t="s">
        <v>3016</v>
      </c>
      <c r="M1309" s="1">
        <v>46072</v>
      </c>
      <c r="N1309" t="s">
        <v>75</v>
      </c>
      <c r="O1309" t="s">
        <v>33</v>
      </c>
    </row>
    <row r="1310" spans="1:15" x14ac:dyDescent="0.25">
      <c r="A1310" t="s">
        <v>3017</v>
      </c>
      <c r="B1310" t="s">
        <v>134</v>
      </c>
      <c r="C1310">
        <v>2015</v>
      </c>
      <c r="D1310" t="s">
        <v>36</v>
      </c>
      <c r="E1310" t="s">
        <v>18</v>
      </c>
      <c r="F1310" t="s">
        <v>208</v>
      </c>
      <c r="G1310">
        <v>320</v>
      </c>
      <c r="H1310" t="s">
        <v>56</v>
      </c>
      <c r="I1310" t="s">
        <v>151</v>
      </c>
      <c r="J1310" t="s">
        <v>125</v>
      </c>
      <c r="K1310" s="4">
        <v>162.44</v>
      </c>
      <c r="L1310" t="s">
        <v>3018</v>
      </c>
      <c r="M1310" s="1">
        <v>46964</v>
      </c>
      <c r="N1310" t="s">
        <v>41</v>
      </c>
      <c r="O1310" t="s">
        <v>25</v>
      </c>
    </row>
    <row r="1311" spans="1:15" x14ac:dyDescent="0.25">
      <c r="A1311" t="s">
        <v>3019</v>
      </c>
      <c r="B1311" t="s">
        <v>134</v>
      </c>
      <c r="C1311">
        <v>2004</v>
      </c>
      <c r="D1311" t="s">
        <v>108</v>
      </c>
      <c r="E1311" t="s">
        <v>45</v>
      </c>
      <c r="F1311" t="s">
        <v>1577</v>
      </c>
      <c r="G1311">
        <v>990</v>
      </c>
      <c r="H1311" t="s">
        <v>20</v>
      </c>
      <c r="I1311" t="s">
        <v>48</v>
      </c>
      <c r="J1311" t="s">
        <v>121</v>
      </c>
      <c r="K1311" s="4">
        <v>131.06</v>
      </c>
      <c r="L1311" t="s">
        <v>3020</v>
      </c>
      <c r="M1311" s="1">
        <v>46585</v>
      </c>
      <c r="N1311" t="s">
        <v>75</v>
      </c>
      <c r="O1311" t="s">
        <v>25</v>
      </c>
    </row>
    <row r="1312" spans="1:15" x14ac:dyDescent="0.25">
      <c r="A1312" t="s">
        <v>3021</v>
      </c>
      <c r="B1312" t="s">
        <v>138</v>
      </c>
      <c r="C1312">
        <v>2024</v>
      </c>
      <c r="D1312" t="s">
        <v>83</v>
      </c>
      <c r="E1312" t="s">
        <v>60</v>
      </c>
      <c r="F1312" t="s">
        <v>162</v>
      </c>
      <c r="G1312">
        <v>700</v>
      </c>
      <c r="H1312" t="s">
        <v>47</v>
      </c>
      <c r="I1312" t="s">
        <v>151</v>
      </c>
      <c r="J1312" t="s">
        <v>92</v>
      </c>
      <c r="K1312" s="4">
        <v>132.68</v>
      </c>
      <c r="L1312" t="s">
        <v>3022</v>
      </c>
      <c r="M1312" s="1">
        <v>46706</v>
      </c>
      <c r="N1312" t="s">
        <v>24</v>
      </c>
      <c r="O1312" t="s">
        <v>25</v>
      </c>
    </row>
    <row r="1313" spans="1:15" x14ac:dyDescent="0.25">
      <c r="A1313" t="s">
        <v>3023</v>
      </c>
      <c r="B1313" t="s">
        <v>35</v>
      </c>
      <c r="C1313">
        <v>2019</v>
      </c>
      <c r="D1313" t="s">
        <v>27</v>
      </c>
      <c r="E1313" t="s">
        <v>18</v>
      </c>
      <c r="F1313" t="s">
        <v>2042</v>
      </c>
      <c r="G1313">
        <v>730</v>
      </c>
      <c r="H1313" t="s">
        <v>47</v>
      </c>
      <c r="I1313" t="s">
        <v>91</v>
      </c>
      <c r="J1313" t="s">
        <v>22</v>
      </c>
      <c r="K1313" s="4">
        <v>161.22</v>
      </c>
      <c r="L1313" t="s">
        <v>3024</v>
      </c>
      <c r="M1313" s="1">
        <v>46856</v>
      </c>
      <c r="N1313" t="s">
        <v>24</v>
      </c>
      <c r="O1313" t="s">
        <v>33</v>
      </c>
    </row>
    <row r="1314" spans="1:15" x14ac:dyDescent="0.25">
      <c r="A1314" t="s">
        <v>3025</v>
      </c>
      <c r="B1314" t="s">
        <v>138</v>
      </c>
      <c r="C1314">
        <v>2021</v>
      </c>
      <c r="D1314" t="s">
        <v>83</v>
      </c>
      <c r="E1314" t="s">
        <v>54</v>
      </c>
      <c r="F1314" t="s">
        <v>317</v>
      </c>
      <c r="G1314">
        <v>860</v>
      </c>
      <c r="H1314" t="s">
        <v>20</v>
      </c>
      <c r="I1314" t="s">
        <v>30</v>
      </c>
      <c r="J1314" t="s">
        <v>146</v>
      </c>
      <c r="K1314" s="4">
        <v>230.6</v>
      </c>
      <c r="L1314" t="s">
        <v>3026</v>
      </c>
      <c r="M1314" s="1">
        <v>46606</v>
      </c>
      <c r="N1314" t="s">
        <v>75</v>
      </c>
      <c r="O1314" t="s">
        <v>51</v>
      </c>
    </row>
    <row r="1315" spans="1:15" x14ac:dyDescent="0.25">
      <c r="A1315" t="s">
        <v>3027</v>
      </c>
      <c r="B1315" t="s">
        <v>98</v>
      </c>
      <c r="C1315">
        <v>2004</v>
      </c>
      <c r="D1315" t="s">
        <v>71</v>
      </c>
      <c r="E1315" t="s">
        <v>119</v>
      </c>
      <c r="F1315" t="s">
        <v>3028</v>
      </c>
      <c r="G1315">
        <v>950</v>
      </c>
      <c r="H1315" t="s">
        <v>56</v>
      </c>
      <c r="I1315" t="s">
        <v>48</v>
      </c>
      <c r="J1315" t="s">
        <v>121</v>
      </c>
      <c r="K1315" s="4">
        <v>278.92</v>
      </c>
      <c r="L1315" t="s">
        <v>3029</v>
      </c>
      <c r="M1315" s="1">
        <v>46095</v>
      </c>
      <c r="N1315" t="s">
        <v>41</v>
      </c>
      <c r="O1315" t="s">
        <v>33</v>
      </c>
    </row>
    <row r="1316" spans="1:15" x14ac:dyDescent="0.25">
      <c r="A1316" t="s">
        <v>2738</v>
      </c>
      <c r="B1316" t="s">
        <v>43</v>
      </c>
      <c r="C1316">
        <v>1995</v>
      </c>
      <c r="D1316" t="s">
        <v>44</v>
      </c>
      <c r="E1316" t="s">
        <v>99</v>
      </c>
      <c r="F1316" t="s">
        <v>3030</v>
      </c>
      <c r="G1316">
        <v>570</v>
      </c>
      <c r="H1316" t="s">
        <v>62</v>
      </c>
      <c r="I1316" t="s">
        <v>91</v>
      </c>
      <c r="J1316" t="s">
        <v>63</v>
      </c>
      <c r="K1316" s="4">
        <v>310.69</v>
      </c>
      <c r="L1316" t="s">
        <v>3031</v>
      </c>
      <c r="M1316" s="1">
        <v>46050</v>
      </c>
      <c r="N1316" t="s">
        <v>75</v>
      </c>
      <c r="O1316" t="s">
        <v>51</v>
      </c>
    </row>
    <row r="1317" spans="1:15" x14ac:dyDescent="0.25">
      <c r="A1317" t="s">
        <v>3032</v>
      </c>
      <c r="B1317" t="s">
        <v>35</v>
      </c>
      <c r="C1317">
        <v>2012</v>
      </c>
      <c r="D1317" t="s">
        <v>83</v>
      </c>
      <c r="E1317" t="s">
        <v>116</v>
      </c>
      <c r="F1317" t="s">
        <v>3033</v>
      </c>
      <c r="G1317">
        <v>780</v>
      </c>
      <c r="H1317" t="s">
        <v>47</v>
      </c>
      <c r="I1317" t="s">
        <v>86</v>
      </c>
      <c r="J1317" t="s">
        <v>22</v>
      </c>
      <c r="K1317" s="4">
        <v>393.15</v>
      </c>
      <c r="L1317" t="s">
        <v>3034</v>
      </c>
      <c r="M1317" s="1">
        <v>46582</v>
      </c>
      <c r="N1317" t="s">
        <v>41</v>
      </c>
      <c r="O1317" t="s">
        <v>33</v>
      </c>
    </row>
    <row r="1318" spans="1:15" x14ac:dyDescent="0.25">
      <c r="A1318" t="s">
        <v>3035</v>
      </c>
      <c r="B1318" t="s">
        <v>134</v>
      </c>
      <c r="C1318">
        <v>2013</v>
      </c>
      <c r="D1318" t="s">
        <v>66</v>
      </c>
      <c r="E1318" t="s">
        <v>99</v>
      </c>
      <c r="F1318" t="s">
        <v>388</v>
      </c>
      <c r="G1318">
        <v>320</v>
      </c>
      <c r="H1318" t="s">
        <v>85</v>
      </c>
      <c r="I1318" t="s">
        <v>21</v>
      </c>
      <c r="J1318" t="s">
        <v>110</v>
      </c>
      <c r="K1318" s="4">
        <v>242.21</v>
      </c>
      <c r="L1318" t="s">
        <v>3036</v>
      </c>
      <c r="M1318" s="1">
        <v>46294</v>
      </c>
      <c r="N1318" t="s">
        <v>41</v>
      </c>
      <c r="O1318" t="s">
        <v>33</v>
      </c>
    </row>
    <row r="1319" spans="1:15" x14ac:dyDescent="0.25">
      <c r="A1319" t="s">
        <v>3037</v>
      </c>
      <c r="B1319" t="s">
        <v>138</v>
      </c>
      <c r="C1319">
        <v>2006</v>
      </c>
      <c r="D1319" t="s">
        <v>36</v>
      </c>
      <c r="E1319" t="s">
        <v>54</v>
      </c>
      <c r="F1319" t="s">
        <v>783</v>
      </c>
      <c r="G1319">
        <v>960</v>
      </c>
      <c r="H1319" t="s">
        <v>47</v>
      </c>
      <c r="I1319" t="s">
        <v>186</v>
      </c>
      <c r="J1319" t="s">
        <v>146</v>
      </c>
      <c r="K1319" s="4">
        <v>260.08</v>
      </c>
      <c r="L1319" t="s">
        <v>3038</v>
      </c>
      <c r="M1319" s="1">
        <v>46290</v>
      </c>
      <c r="N1319" t="s">
        <v>41</v>
      </c>
      <c r="O1319" t="s">
        <v>25</v>
      </c>
    </row>
    <row r="1320" spans="1:15" x14ac:dyDescent="0.25">
      <c r="A1320" t="s">
        <v>3039</v>
      </c>
      <c r="B1320" t="s">
        <v>98</v>
      </c>
      <c r="C1320">
        <v>2018</v>
      </c>
      <c r="D1320" t="s">
        <v>27</v>
      </c>
      <c r="E1320" t="s">
        <v>104</v>
      </c>
      <c r="F1320" t="s">
        <v>603</v>
      </c>
      <c r="G1320">
        <v>710</v>
      </c>
      <c r="H1320" t="s">
        <v>56</v>
      </c>
      <c r="I1320" t="s">
        <v>151</v>
      </c>
      <c r="J1320" t="s">
        <v>92</v>
      </c>
      <c r="K1320" s="4">
        <v>269.48</v>
      </c>
      <c r="L1320" t="s">
        <v>3040</v>
      </c>
      <c r="M1320" s="1">
        <v>46822</v>
      </c>
      <c r="N1320" t="s">
        <v>41</v>
      </c>
      <c r="O1320" t="s">
        <v>25</v>
      </c>
    </row>
    <row r="1321" spans="1:15" x14ac:dyDescent="0.25">
      <c r="A1321" t="s">
        <v>3041</v>
      </c>
      <c r="B1321" t="s">
        <v>77</v>
      </c>
      <c r="C1321">
        <v>1999</v>
      </c>
      <c r="D1321" t="s">
        <v>108</v>
      </c>
      <c r="E1321" t="s">
        <v>54</v>
      </c>
      <c r="F1321" t="s">
        <v>162</v>
      </c>
      <c r="G1321">
        <v>440</v>
      </c>
      <c r="H1321" t="s">
        <v>38</v>
      </c>
      <c r="I1321" t="s">
        <v>73</v>
      </c>
      <c r="J1321" t="s">
        <v>125</v>
      </c>
      <c r="K1321" s="4">
        <v>317.51</v>
      </c>
      <c r="L1321" t="s">
        <v>3042</v>
      </c>
      <c r="M1321" s="1">
        <v>46454</v>
      </c>
      <c r="N1321" t="s">
        <v>41</v>
      </c>
      <c r="O1321" t="s">
        <v>25</v>
      </c>
    </row>
    <row r="1322" spans="1:15" x14ac:dyDescent="0.25">
      <c r="A1322" t="s">
        <v>3043</v>
      </c>
      <c r="B1322" t="s">
        <v>59</v>
      </c>
      <c r="C1322">
        <v>2019</v>
      </c>
      <c r="D1322" t="s">
        <v>83</v>
      </c>
      <c r="E1322" t="s">
        <v>60</v>
      </c>
      <c r="F1322" t="s">
        <v>679</v>
      </c>
      <c r="G1322">
        <v>690</v>
      </c>
      <c r="H1322" t="s">
        <v>38</v>
      </c>
      <c r="I1322" t="s">
        <v>21</v>
      </c>
      <c r="J1322" t="s">
        <v>101</v>
      </c>
      <c r="K1322" s="4">
        <v>323.82</v>
      </c>
      <c r="L1322" t="s">
        <v>3044</v>
      </c>
      <c r="M1322" s="1">
        <v>46922</v>
      </c>
      <c r="N1322" t="s">
        <v>75</v>
      </c>
      <c r="O1322" t="s">
        <v>51</v>
      </c>
    </row>
    <row r="1323" spans="1:15" x14ac:dyDescent="0.25">
      <c r="A1323" t="s">
        <v>3045</v>
      </c>
      <c r="B1323" t="s">
        <v>138</v>
      </c>
      <c r="C1323">
        <v>2012</v>
      </c>
      <c r="D1323" t="s">
        <v>66</v>
      </c>
      <c r="E1323" t="s">
        <v>78</v>
      </c>
      <c r="F1323" t="s">
        <v>3046</v>
      </c>
      <c r="G1323">
        <v>990</v>
      </c>
      <c r="H1323" t="s">
        <v>20</v>
      </c>
      <c r="I1323" t="s">
        <v>80</v>
      </c>
      <c r="J1323" t="s">
        <v>146</v>
      </c>
      <c r="K1323" s="4">
        <v>69.08</v>
      </c>
      <c r="L1323" t="s">
        <v>3047</v>
      </c>
      <c r="M1323" s="1">
        <v>46512</v>
      </c>
      <c r="N1323" t="s">
        <v>75</v>
      </c>
      <c r="O1323" t="s">
        <v>51</v>
      </c>
    </row>
    <row r="1324" spans="1:15" x14ac:dyDescent="0.25">
      <c r="A1324" t="s">
        <v>3048</v>
      </c>
      <c r="B1324" t="s">
        <v>35</v>
      </c>
      <c r="C1324">
        <v>2002</v>
      </c>
      <c r="D1324" t="s">
        <v>89</v>
      </c>
      <c r="E1324" t="s">
        <v>54</v>
      </c>
      <c r="F1324" t="s">
        <v>712</v>
      </c>
      <c r="G1324">
        <v>320</v>
      </c>
      <c r="H1324" t="s">
        <v>38</v>
      </c>
      <c r="I1324" t="s">
        <v>21</v>
      </c>
      <c r="J1324" t="s">
        <v>31</v>
      </c>
      <c r="K1324" s="4">
        <v>151.30000000000001</v>
      </c>
      <c r="L1324" t="s">
        <v>3049</v>
      </c>
      <c r="M1324" s="1">
        <v>46841</v>
      </c>
      <c r="N1324" t="s">
        <v>24</v>
      </c>
      <c r="O1324" t="s">
        <v>33</v>
      </c>
    </row>
    <row r="1325" spans="1:15" x14ac:dyDescent="0.25">
      <c r="A1325" t="s">
        <v>773</v>
      </c>
      <c r="B1325" t="s">
        <v>59</v>
      </c>
      <c r="C1325">
        <v>2005</v>
      </c>
      <c r="D1325" t="s">
        <v>95</v>
      </c>
      <c r="E1325" t="s">
        <v>119</v>
      </c>
      <c r="F1325" t="s">
        <v>28</v>
      </c>
      <c r="G1325">
        <v>650</v>
      </c>
      <c r="H1325" t="s">
        <v>56</v>
      </c>
      <c r="I1325" t="s">
        <v>151</v>
      </c>
      <c r="J1325" t="s">
        <v>146</v>
      </c>
      <c r="K1325" s="4">
        <v>22.5</v>
      </c>
      <c r="L1325" t="s">
        <v>3050</v>
      </c>
      <c r="M1325" s="1">
        <v>46179</v>
      </c>
      <c r="N1325" t="s">
        <v>41</v>
      </c>
      <c r="O1325" t="s">
        <v>25</v>
      </c>
    </row>
    <row r="1326" spans="1:15" x14ac:dyDescent="0.25">
      <c r="A1326" t="s">
        <v>3051</v>
      </c>
      <c r="B1326" t="s">
        <v>138</v>
      </c>
      <c r="C1326">
        <v>2023</v>
      </c>
      <c r="D1326" t="s">
        <v>17</v>
      </c>
      <c r="E1326" t="s">
        <v>18</v>
      </c>
      <c r="F1326" t="s">
        <v>381</v>
      </c>
      <c r="G1326">
        <v>590</v>
      </c>
      <c r="H1326" t="s">
        <v>38</v>
      </c>
      <c r="I1326" t="s">
        <v>186</v>
      </c>
      <c r="J1326" t="s">
        <v>49</v>
      </c>
      <c r="K1326" s="4">
        <v>157.84</v>
      </c>
      <c r="L1326" t="s">
        <v>3052</v>
      </c>
      <c r="M1326" s="1">
        <v>46259</v>
      </c>
      <c r="N1326" t="s">
        <v>41</v>
      </c>
      <c r="O1326" t="s">
        <v>51</v>
      </c>
    </row>
    <row r="1327" spans="1:15" x14ac:dyDescent="0.25">
      <c r="A1327" t="s">
        <v>3053</v>
      </c>
      <c r="B1327" t="s">
        <v>77</v>
      </c>
      <c r="C1327">
        <v>2021</v>
      </c>
      <c r="D1327" t="s">
        <v>44</v>
      </c>
      <c r="E1327" t="s">
        <v>116</v>
      </c>
      <c r="F1327" t="s">
        <v>668</v>
      </c>
      <c r="G1327">
        <v>470</v>
      </c>
      <c r="H1327" t="s">
        <v>62</v>
      </c>
      <c r="I1327" t="s">
        <v>86</v>
      </c>
      <c r="J1327" t="s">
        <v>49</v>
      </c>
      <c r="K1327" s="4">
        <v>169.02</v>
      </c>
      <c r="L1327" t="s">
        <v>3054</v>
      </c>
      <c r="M1327" s="1">
        <v>46877</v>
      </c>
      <c r="N1327" t="s">
        <v>41</v>
      </c>
      <c r="O1327" t="s">
        <v>25</v>
      </c>
    </row>
    <row r="1328" spans="1:15" x14ac:dyDescent="0.25">
      <c r="A1328" t="s">
        <v>3055</v>
      </c>
      <c r="B1328" t="s">
        <v>16</v>
      </c>
      <c r="C1328">
        <v>2017</v>
      </c>
      <c r="D1328" t="s">
        <v>17</v>
      </c>
      <c r="E1328" t="s">
        <v>99</v>
      </c>
      <c r="F1328" t="s">
        <v>750</v>
      </c>
      <c r="G1328">
        <v>780</v>
      </c>
      <c r="H1328" t="s">
        <v>20</v>
      </c>
      <c r="I1328" t="s">
        <v>86</v>
      </c>
      <c r="J1328" t="s">
        <v>110</v>
      </c>
      <c r="K1328" s="4">
        <v>298.24</v>
      </c>
      <c r="L1328" t="s">
        <v>3056</v>
      </c>
      <c r="M1328" s="1">
        <v>46718</v>
      </c>
      <c r="N1328" t="s">
        <v>41</v>
      </c>
      <c r="O1328" t="s">
        <v>25</v>
      </c>
    </row>
    <row r="1329" spans="1:15" x14ac:dyDescent="0.25">
      <c r="A1329" t="s">
        <v>3057</v>
      </c>
      <c r="B1329" t="s">
        <v>98</v>
      </c>
      <c r="C1329">
        <v>2002</v>
      </c>
      <c r="D1329" t="s">
        <v>66</v>
      </c>
      <c r="E1329" t="s">
        <v>72</v>
      </c>
      <c r="F1329" t="s">
        <v>211</v>
      </c>
      <c r="G1329">
        <v>610</v>
      </c>
      <c r="H1329" t="s">
        <v>29</v>
      </c>
      <c r="I1329" t="s">
        <v>186</v>
      </c>
      <c r="J1329" t="s">
        <v>110</v>
      </c>
      <c r="K1329" s="4">
        <v>106.94</v>
      </c>
      <c r="L1329" t="s">
        <v>3058</v>
      </c>
      <c r="M1329" s="1">
        <v>46836</v>
      </c>
      <c r="N1329" t="s">
        <v>41</v>
      </c>
      <c r="O1329" t="s">
        <v>25</v>
      </c>
    </row>
    <row r="1330" spans="1:15" x14ac:dyDescent="0.25">
      <c r="A1330" t="s">
        <v>3059</v>
      </c>
      <c r="B1330" t="s">
        <v>70</v>
      </c>
      <c r="C1330">
        <v>1996</v>
      </c>
      <c r="D1330" t="s">
        <v>66</v>
      </c>
      <c r="E1330" t="s">
        <v>18</v>
      </c>
      <c r="F1330" t="s">
        <v>603</v>
      </c>
      <c r="G1330">
        <v>320</v>
      </c>
      <c r="H1330" t="s">
        <v>62</v>
      </c>
      <c r="I1330" t="s">
        <v>48</v>
      </c>
      <c r="J1330" t="s">
        <v>125</v>
      </c>
      <c r="K1330" s="4">
        <v>117.55</v>
      </c>
      <c r="L1330" t="s">
        <v>3060</v>
      </c>
      <c r="M1330" s="1">
        <v>46045</v>
      </c>
      <c r="N1330" t="s">
        <v>24</v>
      </c>
      <c r="O1330" t="s">
        <v>33</v>
      </c>
    </row>
    <row r="1331" spans="1:15" x14ac:dyDescent="0.25">
      <c r="A1331" t="s">
        <v>3061</v>
      </c>
      <c r="B1331" t="s">
        <v>16</v>
      </c>
      <c r="C1331">
        <v>2012</v>
      </c>
      <c r="D1331" t="s">
        <v>27</v>
      </c>
      <c r="E1331" t="s">
        <v>54</v>
      </c>
      <c r="F1331" t="s">
        <v>2364</v>
      </c>
      <c r="G1331">
        <v>820</v>
      </c>
      <c r="H1331" t="s">
        <v>56</v>
      </c>
      <c r="I1331" t="s">
        <v>39</v>
      </c>
      <c r="J1331" t="s">
        <v>121</v>
      </c>
      <c r="K1331" s="4">
        <v>141.51</v>
      </c>
      <c r="L1331" t="s">
        <v>3062</v>
      </c>
      <c r="M1331" s="1">
        <v>46563</v>
      </c>
      <c r="N1331" t="s">
        <v>75</v>
      </c>
      <c r="O1331" t="s">
        <v>33</v>
      </c>
    </row>
    <row r="1332" spans="1:15" x14ac:dyDescent="0.25">
      <c r="A1332" t="s">
        <v>3063</v>
      </c>
      <c r="B1332" t="s">
        <v>98</v>
      </c>
      <c r="C1332">
        <v>2014</v>
      </c>
      <c r="D1332" t="s">
        <v>71</v>
      </c>
      <c r="E1332" t="s">
        <v>54</v>
      </c>
      <c r="F1332" t="s">
        <v>3064</v>
      </c>
      <c r="G1332">
        <v>60</v>
      </c>
      <c r="H1332" t="s">
        <v>85</v>
      </c>
      <c r="I1332" t="s">
        <v>48</v>
      </c>
      <c r="J1332" t="s">
        <v>110</v>
      </c>
      <c r="K1332" s="4">
        <v>225.11</v>
      </c>
      <c r="L1332" t="s">
        <v>3065</v>
      </c>
      <c r="M1332" s="1">
        <v>45945</v>
      </c>
      <c r="N1332" t="s">
        <v>75</v>
      </c>
      <c r="O1332" t="s">
        <v>25</v>
      </c>
    </row>
    <row r="1333" spans="1:15" x14ac:dyDescent="0.25">
      <c r="A1333" t="s">
        <v>3066</v>
      </c>
      <c r="B1333" t="s">
        <v>138</v>
      </c>
      <c r="C1333">
        <v>1993</v>
      </c>
      <c r="D1333" t="s">
        <v>44</v>
      </c>
      <c r="E1333" t="s">
        <v>72</v>
      </c>
      <c r="F1333" t="s">
        <v>217</v>
      </c>
      <c r="G1333">
        <v>360</v>
      </c>
      <c r="H1333" t="s">
        <v>56</v>
      </c>
      <c r="I1333" t="s">
        <v>73</v>
      </c>
      <c r="J1333" t="s">
        <v>92</v>
      </c>
      <c r="K1333" s="4">
        <v>181.26</v>
      </c>
      <c r="L1333" t="s">
        <v>3067</v>
      </c>
      <c r="M1333" s="1">
        <v>46159</v>
      </c>
      <c r="N1333" t="s">
        <v>24</v>
      </c>
      <c r="O1333" t="s">
        <v>51</v>
      </c>
    </row>
    <row r="1334" spans="1:15" x14ac:dyDescent="0.25">
      <c r="A1334" t="s">
        <v>3068</v>
      </c>
      <c r="B1334" t="s">
        <v>35</v>
      </c>
      <c r="C1334">
        <v>2006</v>
      </c>
      <c r="D1334" t="s">
        <v>108</v>
      </c>
      <c r="E1334" t="s">
        <v>99</v>
      </c>
      <c r="F1334" t="s">
        <v>3069</v>
      </c>
      <c r="G1334">
        <v>760</v>
      </c>
      <c r="H1334" t="s">
        <v>29</v>
      </c>
      <c r="I1334" t="s">
        <v>80</v>
      </c>
      <c r="J1334" t="s">
        <v>31</v>
      </c>
      <c r="K1334" s="4">
        <v>472.19</v>
      </c>
      <c r="L1334" t="s">
        <v>3070</v>
      </c>
      <c r="M1334" s="1">
        <v>46566</v>
      </c>
      <c r="N1334" t="s">
        <v>41</v>
      </c>
      <c r="O1334" t="s">
        <v>25</v>
      </c>
    </row>
    <row r="1335" spans="1:15" x14ac:dyDescent="0.25">
      <c r="A1335" t="s">
        <v>3071</v>
      </c>
      <c r="B1335" t="s">
        <v>59</v>
      </c>
      <c r="C1335">
        <v>2003</v>
      </c>
      <c r="D1335" t="s">
        <v>83</v>
      </c>
      <c r="E1335" t="s">
        <v>99</v>
      </c>
      <c r="F1335" t="s">
        <v>2502</v>
      </c>
      <c r="G1335">
        <v>310</v>
      </c>
      <c r="H1335" t="s">
        <v>62</v>
      </c>
      <c r="I1335" t="s">
        <v>30</v>
      </c>
      <c r="J1335" t="s">
        <v>63</v>
      </c>
      <c r="K1335" s="4">
        <v>9.15</v>
      </c>
      <c r="L1335" t="s">
        <v>3072</v>
      </c>
      <c r="M1335" s="1">
        <v>46268</v>
      </c>
      <c r="N1335" t="s">
        <v>24</v>
      </c>
      <c r="O1335" t="s">
        <v>25</v>
      </c>
    </row>
    <row r="1336" spans="1:15" x14ac:dyDescent="0.25">
      <c r="A1336" t="s">
        <v>3073</v>
      </c>
      <c r="B1336" t="s">
        <v>53</v>
      </c>
      <c r="C1336">
        <v>2013</v>
      </c>
      <c r="D1336" t="s">
        <v>95</v>
      </c>
      <c r="E1336" t="s">
        <v>60</v>
      </c>
      <c r="F1336" t="s">
        <v>192</v>
      </c>
      <c r="G1336">
        <v>230</v>
      </c>
      <c r="H1336" t="s">
        <v>56</v>
      </c>
      <c r="I1336" t="s">
        <v>86</v>
      </c>
      <c r="J1336" t="s">
        <v>63</v>
      </c>
      <c r="K1336" s="4">
        <v>4.97</v>
      </c>
      <c r="L1336" t="s">
        <v>3074</v>
      </c>
      <c r="M1336" s="1">
        <v>46787</v>
      </c>
      <c r="N1336" t="s">
        <v>75</v>
      </c>
      <c r="O1336" t="s">
        <v>33</v>
      </c>
    </row>
    <row r="1337" spans="1:15" x14ac:dyDescent="0.25">
      <c r="A1337" t="s">
        <v>1519</v>
      </c>
      <c r="B1337" t="s">
        <v>138</v>
      </c>
      <c r="C1337">
        <v>2008</v>
      </c>
      <c r="D1337" t="s">
        <v>27</v>
      </c>
      <c r="E1337" t="s">
        <v>60</v>
      </c>
      <c r="F1337" t="s">
        <v>3075</v>
      </c>
      <c r="G1337">
        <v>200</v>
      </c>
      <c r="H1337" t="s">
        <v>85</v>
      </c>
      <c r="I1337" t="s">
        <v>39</v>
      </c>
      <c r="J1337" t="s">
        <v>31</v>
      </c>
      <c r="K1337" s="4">
        <v>144.99</v>
      </c>
      <c r="L1337" t="s">
        <v>3076</v>
      </c>
      <c r="M1337" s="1">
        <v>46048</v>
      </c>
      <c r="N1337" t="s">
        <v>24</v>
      </c>
      <c r="O1337" t="s">
        <v>33</v>
      </c>
    </row>
    <row r="1338" spans="1:15" x14ac:dyDescent="0.25">
      <c r="A1338" t="s">
        <v>3077</v>
      </c>
      <c r="B1338" t="s">
        <v>77</v>
      </c>
      <c r="C1338">
        <v>2015</v>
      </c>
      <c r="D1338" t="s">
        <v>44</v>
      </c>
      <c r="E1338" t="s">
        <v>78</v>
      </c>
      <c r="F1338" t="s">
        <v>1002</v>
      </c>
      <c r="G1338">
        <v>30</v>
      </c>
      <c r="H1338" t="s">
        <v>85</v>
      </c>
      <c r="I1338" t="s">
        <v>91</v>
      </c>
      <c r="J1338" t="s">
        <v>121</v>
      </c>
      <c r="K1338" s="4">
        <v>298.45999999999998</v>
      </c>
      <c r="L1338" t="s">
        <v>3078</v>
      </c>
      <c r="M1338" s="1">
        <v>46205</v>
      </c>
      <c r="N1338" t="s">
        <v>41</v>
      </c>
      <c r="O1338" t="s">
        <v>33</v>
      </c>
    </row>
    <row r="1339" spans="1:15" x14ac:dyDescent="0.25">
      <c r="A1339" t="s">
        <v>2457</v>
      </c>
      <c r="B1339" t="s">
        <v>16</v>
      </c>
      <c r="C1339">
        <v>1994</v>
      </c>
      <c r="D1339" t="s">
        <v>95</v>
      </c>
      <c r="E1339" t="s">
        <v>104</v>
      </c>
      <c r="F1339" t="s">
        <v>2678</v>
      </c>
      <c r="G1339">
        <v>340</v>
      </c>
      <c r="H1339" t="s">
        <v>47</v>
      </c>
      <c r="I1339" t="s">
        <v>91</v>
      </c>
      <c r="J1339" t="s">
        <v>146</v>
      </c>
      <c r="K1339" s="4">
        <v>5.65</v>
      </c>
      <c r="L1339" t="s">
        <v>3079</v>
      </c>
      <c r="M1339" s="1">
        <v>46688</v>
      </c>
      <c r="N1339" t="s">
        <v>24</v>
      </c>
      <c r="O1339" t="s">
        <v>51</v>
      </c>
    </row>
    <row r="1340" spans="1:15" x14ac:dyDescent="0.25">
      <c r="A1340" t="s">
        <v>3080</v>
      </c>
      <c r="B1340" t="s">
        <v>43</v>
      </c>
      <c r="C1340">
        <v>2022</v>
      </c>
      <c r="D1340" t="s">
        <v>108</v>
      </c>
      <c r="E1340" t="s">
        <v>18</v>
      </c>
      <c r="F1340" t="s">
        <v>3081</v>
      </c>
      <c r="G1340">
        <v>850</v>
      </c>
      <c r="H1340" t="s">
        <v>20</v>
      </c>
      <c r="I1340" t="s">
        <v>39</v>
      </c>
      <c r="J1340" t="s">
        <v>92</v>
      </c>
      <c r="K1340" s="4">
        <v>47.47</v>
      </c>
      <c r="L1340" t="s">
        <v>3082</v>
      </c>
      <c r="M1340" s="1">
        <v>46673</v>
      </c>
      <c r="N1340" t="s">
        <v>41</v>
      </c>
      <c r="O1340" t="s">
        <v>51</v>
      </c>
    </row>
    <row r="1341" spans="1:15" x14ac:dyDescent="0.25">
      <c r="A1341" t="s">
        <v>3083</v>
      </c>
      <c r="B1341" t="s">
        <v>59</v>
      </c>
      <c r="C1341">
        <v>2017</v>
      </c>
      <c r="D1341" t="s">
        <v>71</v>
      </c>
      <c r="E1341" t="s">
        <v>119</v>
      </c>
      <c r="F1341" t="s">
        <v>2557</v>
      </c>
      <c r="G1341">
        <v>50</v>
      </c>
      <c r="H1341" t="s">
        <v>29</v>
      </c>
      <c r="I1341" t="s">
        <v>30</v>
      </c>
      <c r="J1341" t="s">
        <v>63</v>
      </c>
      <c r="K1341" s="4">
        <v>373.07</v>
      </c>
      <c r="L1341" t="s">
        <v>3084</v>
      </c>
      <c r="M1341" s="1">
        <v>46906</v>
      </c>
      <c r="N1341" t="s">
        <v>41</v>
      </c>
      <c r="O1341" t="s">
        <v>33</v>
      </c>
    </row>
    <row r="1342" spans="1:15" x14ac:dyDescent="0.25">
      <c r="A1342" t="s">
        <v>3085</v>
      </c>
      <c r="B1342" t="s">
        <v>138</v>
      </c>
      <c r="C1342">
        <v>1998</v>
      </c>
      <c r="D1342" t="s">
        <v>89</v>
      </c>
      <c r="E1342" t="s">
        <v>116</v>
      </c>
      <c r="F1342" t="s">
        <v>208</v>
      </c>
      <c r="G1342">
        <v>730</v>
      </c>
      <c r="H1342" t="s">
        <v>38</v>
      </c>
      <c r="I1342" t="s">
        <v>80</v>
      </c>
      <c r="J1342" t="s">
        <v>125</v>
      </c>
      <c r="K1342" s="4">
        <v>327.37</v>
      </c>
      <c r="L1342" t="s">
        <v>3086</v>
      </c>
      <c r="M1342" s="1">
        <v>46164</v>
      </c>
      <c r="N1342" t="s">
        <v>41</v>
      </c>
      <c r="O1342" t="s">
        <v>33</v>
      </c>
    </row>
    <row r="1343" spans="1:15" x14ac:dyDescent="0.25">
      <c r="A1343" t="s">
        <v>3087</v>
      </c>
      <c r="B1343" t="s">
        <v>35</v>
      </c>
      <c r="C1343">
        <v>2006</v>
      </c>
      <c r="D1343" t="s">
        <v>44</v>
      </c>
      <c r="E1343" t="s">
        <v>99</v>
      </c>
      <c r="F1343" t="s">
        <v>3088</v>
      </c>
      <c r="G1343">
        <v>660</v>
      </c>
      <c r="H1343" t="s">
        <v>47</v>
      </c>
      <c r="I1343" t="s">
        <v>21</v>
      </c>
      <c r="J1343" t="s">
        <v>31</v>
      </c>
      <c r="K1343" s="4">
        <v>482.48</v>
      </c>
      <c r="L1343" t="s">
        <v>3089</v>
      </c>
      <c r="M1343" s="1">
        <v>46119</v>
      </c>
      <c r="N1343" t="s">
        <v>41</v>
      </c>
      <c r="O1343" t="s">
        <v>33</v>
      </c>
    </row>
    <row r="1344" spans="1:15" x14ac:dyDescent="0.25">
      <c r="A1344" t="s">
        <v>3090</v>
      </c>
      <c r="B1344" t="s">
        <v>59</v>
      </c>
      <c r="C1344">
        <v>2005</v>
      </c>
      <c r="D1344" t="s">
        <v>27</v>
      </c>
      <c r="E1344" t="s">
        <v>99</v>
      </c>
      <c r="F1344" t="s">
        <v>3091</v>
      </c>
      <c r="G1344">
        <v>660</v>
      </c>
      <c r="H1344" t="s">
        <v>62</v>
      </c>
      <c r="I1344" t="s">
        <v>80</v>
      </c>
      <c r="J1344" t="s">
        <v>121</v>
      </c>
      <c r="K1344" s="4">
        <v>235.02</v>
      </c>
      <c r="L1344" t="s">
        <v>3092</v>
      </c>
      <c r="M1344" s="1">
        <v>46339</v>
      </c>
      <c r="N1344" t="s">
        <v>41</v>
      </c>
      <c r="O1344" t="s">
        <v>25</v>
      </c>
    </row>
    <row r="1345" spans="1:15" x14ac:dyDescent="0.25">
      <c r="A1345" t="s">
        <v>3093</v>
      </c>
      <c r="B1345" t="s">
        <v>138</v>
      </c>
      <c r="C1345">
        <v>2024</v>
      </c>
      <c r="D1345" t="s">
        <v>27</v>
      </c>
      <c r="E1345" t="s">
        <v>99</v>
      </c>
      <c r="F1345" t="s">
        <v>712</v>
      </c>
      <c r="G1345">
        <v>920</v>
      </c>
      <c r="H1345" t="s">
        <v>20</v>
      </c>
      <c r="I1345" t="s">
        <v>73</v>
      </c>
      <c r="J1345" t="s">
        <v>110</v>
      </c>
      <c r="K1345" s="4">
        <v>270.89</v>
      </c>
      <c r="L1345" t="s">
        <v>3094</v>
      </c>
      <c r="M1345" s="1">
        <v>46232</v>
      </c>
      <c r="N1345" t="s">
        <v>41</v>
      </c>
      <c r="O1345" t="s">
        <v>33</v>
      </c>
    </row>
    <row r="1346" spans="1:15" x14ac:dyDescent="0.25">
      <c r="A1346" t="s">
        <v>3095</v>
      </c>
      <c r="B1346" t="s">
        <v>77</v>
      </c>
      <c r="C1346">
        <v>1995</v>
      </c>
      <c r="D1346" t="s">
        <v>71</v>
      </c>
      <c r="E1346" t="s">
        <v>119</v>
      </c>
      <c r="F1346" t="s">
        <v>805</v>
      </c>
      <c r="G1346">
        <v>300</v>
      </c>
      <c r="H1346" t="s">
        <v>20</v>
      </c>
      <c r="I1346" t="s">
        <v>151</v>
      </c>
      <c r="J1346" t="s">
        <v>110</v>
      </c>
      <c r="K1346" s="4">
        <v>23.22</v>
      </c>
      <c r="L1346" t="s">
        <v>3096</v>
      </c>
      <c r="M1346" s="1">
        <v>45995</v>
      </c>
      <c r="N1346" t="s">
        <v>24</v>
      </c>
      <c r="O1346" t="s">
        <v>51</v>
      </c>
    </row>
    <row r="1347" spans="1:15" x14ac:dyDescent="0.25">
      <c r="A1347" t="s">
        <v>3097</v>
      </c>
      <c r="B1347" t="s">
        <v>53</v>
      </c>
      <c r="C1347">
        <v>2012</v>
      </c>
      <c r="D1347" t="s">
        <v>44</v>
      </c>
      <c r="E1347" t="s">
        <v>45</v>
      </c>
      <c r="F1347" t="s">
        <v>1231</v>
      </c>
      <c r="G1347">
        <v>460</v>
      </c>
      <c r="H1347" t="s">
        <v>56</v>
      </c>
      <c r="I1347" t="s">
        <v>39</v>
      </c>
      <c r="J1347" t="s">
        <v>49</v>
      </c>
      <c r="K1347" s="4">
        <v>319.31</v>
      </c>
      <c r="L1347" t="s">
        <v>3098</v>
      </c>
      <c r="M1347" s="1">
        <v>46871</v>
      </c>
      <c r="N1347" t="s">
        <v>41</v>
      </c>
      <c r="O1347" t="s">
        <v>51</v>
      </c>
    </row>
    <row r="1348" spans="1:15" x14ac:dyDescent="0.25">
      <c r="A1348" t="s">
        <v>649</v>
      </c>
      <c r="B1348" t="s">
        <v>77</v>
      </c>
      <c r="C1348">
        <v>2006</v>
      </c>
      <c r="D1348" t="s">
        <v>108</v>
      </c>
      <c r="E1348" t="s">
        <v>99</v>
      </c>
      <c r="F1348" t="s">
        <v>205</v>
      </c>
      <c r="G1348">
        <v>450</v>
      </c>
      <c r="H1348" t="s">
        <v>62</v>
      </c>
      <c r="I1348" t="s">
        <v>186</v>
      </c>
      <c r="J1348" t="s">
        <v>63</v>
      </c>
      <c r="K1348" s="4">
        <v>207.67</v>
      </c>
      <c r="L1348" t="s">
        <v>3099</v>
      </c>
      <c r="M1348" s="1">
        <v>46038</v>
      </c>
      <c r="N1348" t="s">
        <v>24</v>
      </c>
      <c r="O1348" t="s">
        <v>33</v>
      </c>
    </row>
    <row r="1349" spans="1:15" x14ac:dyDescent="0.25">
      <c r="A1349" t="s">
        <v>3100</v>
      </c>
      <c r="B1349" t="s">
        <v>35</v>
      </c>
      <c r="C1349">
        <v>2008</v>
      </c>
      <c r="D1349" t="s">
        <v>89</v>
      </c>
      <c r="E1349" t="s">
        <v>99</v>
      </c>
      <c r="F1349" t="s">
        <v>3101</v>
      </c>
      <c r="G1349">
        <v>880</v>
      </c>
      <c r="H1349" t="s">
        <v>56</v>
      </c>
      <c r="I1349" t="s">
        <v>30</v>
      </c>
      <c r="J1349" t="s">
        <v>22</v>
      </c>
      <c r="K1349" s="4">
        <v>430.31</v>
      </c>
      <c r="L1349" t="s">
        <v>3102</v>
      </c>
      <c r="M1349" s="1">
        <v>46036</v>
      </c>
      <c r="N1349" t="s">
        <v>41</v>
      </c>
      <c r="O1349" t="s">
        <v>25</v>
      </c>
    </row>
    <row r="1350" spans="1:15" x14ac:dyDescent="0.25">
      <c r="A1350" t="s">
        <v>3103</v>
      </c>
      <c r="B1350" t="s">
        <v>53</v>
      </c>
      <c r="C1350">
        <v>2021</v>
      </c>
      <c r="D1350" t="s">
        <v>17</v>
      </c>
      <c r="E1350" t="s">
        <v>78</v>
      </c>
      <c r="F1350" t="s">
        <v>208</v>
      </c>
      <c r="G1350">
        <v>920</v>
      </c>
      <c r="H1350" t="s">
        <v>20</v>
      </c>
      <c r="I1350" t="s">
        <v>86</v>
      </c>
      <c r="J1350" t="s">
        <v>101</v>
      </c>
      <c r="K1350" s="4">
        <v>487.71</v>
      </c>
      <c r="L1350" t="s">
        <v>3104</v>
      </c>
      <c r="M1350" s="1">
        <v>46110</v>
      </c>
      <c r="N1350" t="s">
        <v>41</v>
      </c>
      <c r="O1350" t="s">
        <v>51</v>
      </c>
    </row>
    <row r="1351" spans="1:15" x14ac:dyDescent="0.25">
      <c r="A1351" t="s">
        <v>3105</v>
      </c>
      <c r="B1351" t="s">
        <v>77</v>
      </c>
      <c r="C1351">
        <v>2006</v>
      </c>
      <c r="D1351" t="s">
        <v>83</v>
      </c>
      <c r="E1351" t="s">
        <v>72</v>
      </c>
      <c r="F1351" t="s">
        <v>3106</v>
      </c>
      <c r="G1351">
        <v>660</v>
      </c>
      <c r="H1351" t="s">
        <v>62</v>
      </c>
      <c r="I1351" t="s">
        <v>73</v>
      </c>
      <c r="J1351" t="s">
        <v>22</v>
      </c>
      <c r="K1351" s="4">
        <v>281.55</v>
      </c>
      <c r="L1351" t="s">
        <v>3107</v>
      </c>
      <c r="M1351" s="1">
        <v>46342</v>
      </c>
      <c r="N1351" t="s">
        <v>75</v>
      </c>
      <c r="O1351" t="s">
        <v>33</v>
      </c>
    </row>
    <row r="1352" spans="1:15" x14ac:dyDescent="0.25">
      <c r="A1352" t="s">
        <v>3108</v>
      </c>
      <c r="B1352" t="s">
        <v>59</v>
      </c>
      <c r="C1352">
        <v>2008</v>
      </c>
      <c r="D1352" t="s">
        <v>108</v>
      </c>
      <c r="E1352" t="s">
        <v>78</v>
      </c>
      <c r="F1352" t="s">
        <v>28</v>
      </c>
      <c r="G1352">
        <v>130</v>
      </c>
      <c r="H1352" t="s">
        <v>20</v>
      </c>
      <c r="I1352" t="s">
        <v>48</v>
      </c>
      <c r="J1352" t="s">
        <v>121</v>
      </c>
      <c r="K1352" s="4">
        <v>449.64</v>
      </c>
      <c r="L1352" t="s">
        <v>3109</v>
      </c>
      <c r="M1352" s="1">
        <v>46600</v>
      </c>
      <c r="N1352" t="s">
        <v>41</v>
      </c>
      <c r="O1352" t="s">
        <v>51</v>
      </c>
    </row>
    <row r="1353" spans="1:15" x14ac:dyDescent="0.25">
      <c r="A1353" t="s">
        <v>3110</v>
      </c>
      <c r="B1353" t="s">
        <v>53</v>
      </c>
      <c r="C1353">
        <v>2007</v>
      </c>
      <c r="D1353" t="s">
        <v>17</v>
      </c>
      <c r="E1353" t="s">
        <v>104</v>
      </c>
      <c r="F1353" t="s">
        <v>241</v>
      </c>
      <c r="G1353">
        <v>260</v>
      </c>
      <c r="H1353" t="s">
        <v>85</v>
      </c>
      <c r="I1353" t="s">
        <v>30</v>
      </c>
      <c r="J1353" t="s">
        <v>63</v>
      </c>
      <c r="K1353" s="4">
        <v>307.52</v>
      </c>
      <c r="L1353" t="s">
        <v>3111</v>
      </c>
      <c r="M1353" s="1">
        <v>46466</v>
      </c>
      <c r="N1353" t="s">
        <v>75</v>
      </c>
      <c r="O1353" t="s">
        <v>25</v>
      </c>
    </row>
    <row r="1354" spans="1:15" x14ac:dyDescent="0.25">
      <c r="A1354" t="s">
        <v>3112</v>
      </c>
      <c r="B1354" t="s">
        <v>77</v>
      </c>
      <c r="C1354">
        <v>2013</v>
      </c>
      <c r="D1354" t="s">
        <v>36</v>
      </c>
      <c r="E1354" t="s">
        <v>45</v>
      </c>
      <c r="F1354" t="s">
        <v>3113</v>
      </c>
      <c r="G1354">
        <v>970</v>
      </c>
      <c r="H1354" t="s">
        <v>85</v>
      </c>
      <c r="I1354" t="s">
        <v>21</v>
      </c>
      <c r="J1354" t="s">
        <v>110</v>
      </c>
      <c r="K1354" s="4">
        <v>399.48</v>
      </c>
      <c r="L1354" t="s">
        <v>3114</v>
      </c>
      <c r="M1354" s="1">
        <v>46263</v>
      </c>
      <c r="N1354" t="s">
        <v>75</v>
      </c>
      <c r="O1354" t="s">
        <v>33</v>
      </c>
    </row>
    <row r="1355" spans="1:15" x14ac:dyDescent="0.25">
      <c r="A1355" t="s">
        <v>3115</v>
      </c>
      <c r="B1355" t="s">
        <v>134</v>
      </c>
      <c r="C1355">
        <v>2008</v>
      </c>
      <c r="D1355" t="s">
        <v>95</v>
      </c>
      <c r="E1355" t="s">
        <v>99</v>
      </c>
      <c r="F1355" t="s">
        <v>1026</v>
      </c>
      <c r="G1355">
        <v>450</v>
      </c>
      <c r="H1355" t="s">
        <v>62</v>
      </c>
      <c r="I1355" t="s">
        <v>80</v>
      </c>
      <c r="J1355" t="s">
        <v>31</v>
      </c>
      <c r="K1355" s="4">
        <v>438.06</v>
      </c>
      <c r="L1355" t="s">
        <v>3116</v>
      </c>
      <c r="M1355" s="1">
        <v>46719</v>
      </c>
      <c r="N1355" t="s">
        <v>41</v>
      </c>
      <c r="O1355" t="s">
        <v>51</v>
      </c>
    </row>
    <row r="1356" spans="1:15" x14ac:dyDescent="0.25">
      <c r="A1356" t="s">
        <v>3117</v>
      </c>
      <c r="B1356" t="s">
        <v>43</v>
      </c>
      <c r="C1356">
        <v>1998</v>
      </c>
      <c r="D1356" t="s">
        <v>44</v>
      </c>
      <c r="E1356" t="s">
        <v>72</v>
      </c>
      <c r="F1356" t="s">
        <v>67</v>
      </c>
      <c r="G1356">
        <v>660</v>
      </c>
      <c r="H1356" t="s">
        <v>29</v>
      </c>
      <c r="I1356" t="s">
        <v>86</v>
      </c>
      <c r="J1356" t="s">
        <v>92</v>
      </c>
      <c r="K1356" s="4">
        <v>322.54000000000002</v>
      </c>
      <c r="L1356" t="s">
        <v>3118</v>
      </c>
      <c r="M1356" s="1">
        <v>46946</v>
      </c>
      <c r="N1356" t="s">
        <v>75</v>
      </c>
      <c r="O1356" t="s">
        <v>51</v>
      </c>
    </row>
    <row r="1357" spans="1:15" x14ac:dyDescent="0.25">
      <c r="A1357" t="s">
        <v>3119</v>
      </c>
      <c r="B1357" t="s">
        <v>77</v>
      </c>
      <c r="C1357">
        <v>2010</v>
      </c>
      <c r="D1357" t="s">
        <v>95</v>
      </c>
      <c r="E1357" t="s">
        <v>72</v>
      </c>
      <c r="F1357" t="s">
        <v>320</v>
      </c>
      <c r="G1357">
        <v>610</v>
      </c>
      <c r="H1357" t="s">
        <v>47</v>
      </c>
      <c r="I1357" t="s">
        <v>91</v>
      </c>
      <c r="J1357" t="s">
        <v>92</v>
      </c>
      <c r="K1357" s="4">
        <v>162.63999999999999</v>
      </c>
      <c r="L1357" t="s">
        <v>3120</v>
      </c>
      <c r="M1357" s="1">
        <v>46551</v>
      </c>
      <c r="N1357" t="s">
        <v>41</v>
      </c>
      <c r="O1357" t="s">
        <v>25</v>
      </c>
    </row>
    <row r="1358" spans="1:15" x14ac:dyDescent="0.25">
      <c r="A1358" t="s">
        <v>3121</v>
      </c>
      <c r="B1358" t="s">
        <v>98</v>
      </c>
      <c r="C1358">
        <v>2014</v>
      </c>
      <c r="D1358" t="s">
        <v>44</v>
      </c>
      <c r="E1358" t="s">
        <v>45</v>
      </c>
      <c r="F1358" t="s">
        <v>932</v>
      </c>
      <c r="G1358">
        <v>880</v>
      </c>
      <c r="H1358" t="s">
        <v>29</v>
      </c>
      <c r="I1358" t="s">
        <v>151</v>
      </c>
      <c r="J1358" t="s">
        <v>22</v>
      </c>
      <c r="K1358" s="4">
        <v>64.39</v>
      </c>
      <c r="L1358" t="s">
        <v>3122</v>
      </c>
      <c r="M1358" s="1">
        <v>46150</v>
      </c>
      <c r="N1358" t="s">
        <v>24</v>
      </c>
      <c r="O1358" t="s">
        <v>25</v>
      </c>
    </row>
    <row r="1359" spans="1:15" x14ac:dyDescent="0.25">
      <c r="A1359" t="s">
        <v>3123</v>
      </c>
      <c r="B1359" t="s">
        <v>53</v>
      </c>
      <c r="C1359">
        <v>2006</v>
      </c>
      <c r="D1359" t="s">
        <v>27</v>
      </c>
      <c r="E1359" t="s">
        <v>18</v>
      </c>
      <c r="F1359" t="s">
        <v>3124</v>
      </c>
      <c r="G1359">
        <v>330</v>
      </c>
      <c r="H1359" t="s">
        <v>62</v>
      </c>
      <c r="I1359" t="s">
        <v>21</v>
      </c>
      <c r="J1359" t="s">
        <v>101</v>
      </c>
      <c r="K1359" s="4">
        <v>165.32</v>
      </c>
      <c r="L1359" t="s">
        <v>3125</v>
      </c>
      <c r="M1359" s="1">
        <v>46793</v>
      </c>
      <c r="N1359" t="s">
        <v>24</v>
      </c>
      <c r="O1359" t="s">
        <v>51</v>
      </c>
    </row>
    <row r="1360" spans="1:15" x14ac:dyDescent="0.25">
      <c r="A1360" t="s">
        <v>3126</v>
      </c>
      <c r="B1360" t="s">
        <v>98</v>
      </c>
      <c r="C1360">
        <v>1991</v>
      </c>
      <c r="D1360" t="s">
        <v>44</v>
      </c>
      <c r="E1360" t="s">
        <v>72</v>
      </c>
      <c r="F1360" t="s">
        <v>67</v>
      </c>
      <c r="G1360">
        <v>320</v>
      </c>
      <c r="H1360" t="s">
        <v>38</v>
      </c>
      <c r="I1360" t="s">
        <v>48</v>
      </c>
      <c r="J1360" t="s">
        <v>125</v>
      </c>
      <c r="K1360" s="4">
        <v>289.49</v>
      </c>
      <c r="L1360" t="s">
        <v>3127</v>
      </c>
      <c r="M1360" s="1">
        <v>45903</v>
      </c>
      <c r="N1360" t="s">
        <v>41</v>
      </c>
      <c r="O1360" t="s">
        <v>51</v>
      </c>
    </row>
    <row r="1361" spans="1:15" x14ac:dyDescent="0.25">
      <c r="A1361" t="s">
        <v>3128</v>
      </c>
      <c r="B1361" t="s">
        <v>77</v>
      </c>
      <c r="C1361">
        <v>2019</v>
      </c>
      <c r="D1361" t="s">
        <v>89</v>
      </c>
      <c r="E1361" t="s">
        <v>18</v>
      </c>
      <c r="F1361" t="s">
        <v>2811</v>
      </c>
      <c r="G1361">
        <v>500</v>
      </c>
      <c r="H1361" t="s">
        <v>20</v>
      </c>
      <c r="I1361" t="s">
        <v>151</v>
      </c>
      <c r="J1361" t="s">
        <v>49</v>
      </c>
      <c r="K1361" s="4">
        <v>164.03</v>
      </c>
      <c r="L1361" t="s">
        <v>3129</v>
      </c>
      <c r="M1361" s="1">
        <v>46087</v>
      </c>
      <c r="N1361" t="s">
        <v>75</v>
      </c>
      <c r="O1361" t="s">
        <v>25</v>
      </c>
    </row>
    <row r="1362" spans="1:15" x14ac:dyDescent="0.25">
      <c r="A1362" t="s">
        <v>3130</v>
      </c>
      <c r="B1362" t="s">
        <v>134</v>
      </c>
      <c r="C1362">
        <v>1998</v>
      </c>
      <c r="D1362" t="s">
        <v>108</v>
      </c>
      <c r="E1362" t="s">
        <v>104</v>
      </c>
      <c r="F1362" t="s">
        <v>783</v>
      </c>
      <c r="G1362">
        <v>170</v>
      </c>
      <c r="H1362" t="s">
        <v>47</v>
      </c>
      <c r="I1362" t="s">
        <v>151</v>
      </c>
      <c r="J1362" t="s">
        <v>110</v>
      </c>
      <c r="K1362" s="4">
        <v>9.2899999999999991</v>
      </c>
      <c r="L1362" t="s">
        <v>3131</v>
      </c>
      <c r="M1362" s="1">
        <v>45931</v>
      </c>
      <c r="N1362" t="s">
        <v>41</v>
      </c>
      <c r="O1362" t="s">
        <v>51</v>
      </c>
    </row>
    <row r="1363" spans="1:15" x14ac:dyDescent="0.25">
      <c r="A1363" t="s">
        <v>3132</v>
      </c>
      <c r="B1363" t="s">
        <v>77</v>
      </c>
      <c r="C1363">
        <v>2008</v>
      </c>
      <c r="D1363" t="s">
        <v>66</v>
      </c>
      <c r="E1363" t="s">
        <v>119</v>
      </c>
      <c r="F1363" t="s">
        <v>978</v>
      </c>
      <c r="G1363">
        <v>650</v>
      </c>
      <c r="H1363" t="s">
        <v>20</v>
      </c>
      <c r="I1363" t="s">
        <v>48</v>
      </c>
      <c r="J1363" t="s">
        <v>121</v>
      </c>
      <c r="K1363" s="4">
        <v>103.62</v>
      </c>
      <c r="L1363" t="s">
        <v>3133</v>
      </c>
      <c r="M1363" s="1">
        <v>46338</v>
      </c>
      <c r="N1363" t="s">
        <v>24</v>
      </c>
      <c r="O1363" t="s">
        <v>33</v>
      </c>
    </row>
    <row r="1364" spans="1:15" x14ac:dyDescent="0.25">
      <c r="A1364" t="s">
        <v>3134</v>
      </c>
      <c r="B1364" t="s">
        <v>35</v>
      </c>
      <c r="C1364">
        <v>1994</v>
      </c>
      <c r="D1364" t="s">
        <v>17</v>
      </c>
      <c r="E1364" t="s">
        <v>60</v>
      </c>
      <c r="F1364" t="s">
        <v>139</v>
      </c>
      <c r="G1364">
        <v>490</v>
      </c>
      <c r="H1364" t="s">
        <v>20</v>
      </c>
      <c r="I1364" t="s">
        <v>30</v>
      </c>
      <c r="J1364" t="s">
        <v>101</v>
      </c>
      <c r="K1364" s="4">
        <v>208.51</v>
      </c>
      <c r="L1364" t="s">
        <v>3135</v>
      </c>
      <c r="M1364" s="1">
        <v>46170</v>
      </c>
      <c r="N1364" t="s">
        <v>75</v>
      </c>
      <c r="O1364" t="s">
        <v>51</v>
      </c>
    </row>
    <row r="1365" spans="1:15" x14ac:dyDescent="0.25">
      <c r="A1365" t="s">
        <v>3136</v>
      </c>
      <c r="B1365" t="s">
        <v>70</v>
      </c>
      <c r="C1365">
        <v>1993</v>
      </c>
      <c r="D1365" t="s">
        <v>36</v>
      </c>
      <c r="E1365" t="s">
        <v>45</v>
      </c>
      <c r="F1365" t="s">
        <v>128</v>
      </c>
      <c r="G1365">
        <v>680</v>
      </c>
      <c r="H1365" t="s">
        <v>29</v>
      </c>
      <c r="I1365" t="s">
        <v>151</v>
      </c>
      <c r="J1365" t="s">
        <v>110</v>
      </c>
      <c r="K1365" s="4">
        <v>180.69</v>
      </c>
      <c r="L1365" t="s">
        <v>3137</v>
      </c>
      <c r="M1365" s="1">
        <v>45912</v>
      </c>
      <c r="N1365" t="s">
        <v>75</v>
      </c>
      <c r="O1365" t="s">
        <v>51</v>
      </c>
    </row>
    <row r="1366" spans="1:15" x14ac:dyDescent="0.25">
      <c r="A1366" t="s">
        <v>3138</v>
      </c>
      <c r="B1366" t="s">
        <v>35</v>
      </c>
      <c r="C1366">
        <v>1991</v>
      </c>
      <c r="D1366" t="s">
        <v>108</v>
      </c>
      <c r="E1366" t="s">
        <v>72</v>
      </c>
      <c r="F1366" t="s">
        <v>3139</v>
      </c>
      <c r="G1366">
        <v>990</v>
      </c>
      <c r="H1366" t="s">
        <v>29</v>
      </c>
      <c r="I1366" t="s">
        <v>73</v>
      </c>
      <c r="J1366" t="s">
        <v>31</v>
      </c>
      <c r="K1366" s="4">
        <v>194.81</v>
      </c>
      <c r="L1366" t="s">
        <v>3140</v>
      </c>
      <c r="M1366" s="1">
        <v>46506</v>
      </c>
      <c r="N1366" t="s">
        <v>75</v>
      </c>
      <c r="O1366" t="s">
        <v>33</v>
      </c>
    </row>
    <row r="1367" spans="1:15" x14ac:dyDescent="0.25">
      <c r="A1367" t="s">
        <v>3141</v>
      </c>
      <c r="B1367" t="s">
        <v>35</v>
      </c>
      <c r="C1367">
        <v>1995</v>
      </c>
      <c r="D1367" t="s">
        <v>36</v>
      </c>
      <c r="E1367" t="s">
        <v>104</v>
      </c>
      <c r="F1367" t="s">
        <v>180</v>
      </c>
      <c r="G1367">
        <v>670</v>
      </c>
      <c r="H1367" t="s">
        <v>85</v>
      </c>
      <c r="I1367" t="s">
        <v>39</v>
      </c>
      <c r="J1367" t="s">
        <v>146</v>
      </c>
      <c r="K1367" s="4">
        <v>314.39</v>
      </c>
      <c r="L1367" t="s">
        <v>3142</v>
      </c>
      <c r="M1367" s="1">
        <v>46218</v>
      </c>
      <c r="N1367" t="s">
        <v>75</v>
      </c>
      <c r="O1367" t="s">
        <v>25</v>
      </c>
    </row>
    <row r="1368" spans="1:15" x14ac:dyDescent="0.25">
      <c r="A1368" t="s">
        <v>3143</v>
      </c>
      <c r="B1368" t="s">
        <v>53</v>
      </c>
      <c r="C1368">
        <v>2022</v>
      </c>
      <c r="D1368" t="s">
        <v>66</v>
      </c>
      <c r="E1368" t="s">
        <v>78</v>
      </c>
      <c r="F1368" t="s">
        <v>162</v>
      </c>
      <c r="G1368">
        <v>130</v>
      </c>
      <c r="H1368" t="s">
        <v>85</v>
      </c>
      <c r="I1368" t="s">
        <v>91</v>
      </c>
      <c r="J1368" t="s">
        <v>22</v>
      </c>
      <c r="K1368" s="4">
        <v>116.55</v>
      </c>
      <c r="L1368" t="s">
        <v>3144</v>
      </c>
      <c r="M1368" s="1">
        <v>46131</v>
      </c>
      <c r="N1368" t="s">
        <v>24</v>
      </c>
      <c r="O1368" t="s">
        <v>33</v>
      </c>
    </row>
    <row r="1369" spans="1:15" x14ac:dyDescent="0.25">
      <c r="A1369" t="s">
        <v>3145</v>
      </c>
      <c r="B1369" t="s">
        <v>59</v>
      </c>
      <c r="C1369">
        <v>1995</v>
      </c>
      <c r="D1369" t="s">
        <v>17</v>
      </c>
      <c r="E1369" t="s">
        <v>116</v>
      </c>
      <c r="F1369" t="s">
        <v>208</v>
      </c>
      <c r="G1369">
        <v>840</v>
      </c>
      <c r="H1369" t="s">
        <v>85</v>
      </c>
      <c r="I1369" t="s">
        <v>86</v>
      </c>
      <c r="J1369" t="s">
        <v>101</v>
      </c>
      <c r="K1369" s="4">
        <v>432.87</v>
      </c>
      <c r="L1369" t="s">
        <v>3146</v>
      </c>
      <c r="M1369" s="1">
        <v>46492</v>
      </c>
      <c r="N1369" t="s">
        <v>75</v>
      </c>
      <c r="O1369" t="s">
        <v>51</v>
      </c>
    </row>
    <row r="1370" spans="1:15" x14ac:dyDescent="0.25">
      <c r="A1370" t="s">
        <v>3147</v>
      </c>
      <c r="B1370" t="s">
        <v>98</v>
      </c>
      <c r="C1370">
        <v>2017</v>
      </c>
      <c r="D1370" t="s">
        <v>17</v>
      </c>
      <c r="E1370" t="s">
        <v>54</v>
      </c>
      <c r="F1370" t="s">
        <v>3148</v>
      </c>
      <c r="G1370">
        <v>280</v>
      </c>
      <c r="H1370" t="s">
        <v>47</v>
      </c>
      <c r="I1370" t="s">
        <v>91</v>
      </c>
      <c r="J1370" t="s">
        <v>22</v>
      </c>
      <c r="K1370" s="4">
        <v>336.7</v>
      </c>
      <c r="L1370" t="s">
        <v>3149</v>
      </c>
      <c r="M1370" s="1">
        <v>46868</v>
      </c>
      <c r="N1370" t="s">
        <v>75</v>
      </c>
      <c r="O1370" t="s">
        <v>33</v>
      </c>
    </row>
    <row r="1371" spans="1:15" x14ac:dyDescent="0.25">
      <c r="A1371" t="s">
        <v>3150</v>
      </c>
      <c r="B1371" t="s">
        <v>16</v>
      </c>
      <c r="C1371">
        <v>2023</v>
      </c>
      <c r="D1371" t="s">
        <v>44</v>
      </c>
      <c r="E1371" t="s">
        <v>104</v>
      </c>
      <c r="F1371" t="s">
        <v>3151</v>
      </c>
      <c r="G1371">
        <v>850</v>
      </c>
      <c r="H1371" t="s">
        <v>29</v>
      </c>
      <c r="I1371" t="s">
        <v>30</v>
      </c>
      <c r="J1371" t="s">
        <v>110</v>
      </c>
      <c r="K1371" s="4">
        <v>123.2</v>
      </c>
      <c r="L1371" t="s">
        <v>3152</v>
      </c>
      <c r="M1371" s="1">
        <v>46748</v>
      </c>
      <c r="N1371" t="s">
        <v>24</v>
      </c>
      <c r="O1371" t="s">
        <v>33</v>
      </c>
    </row>
    <row r="1372" spans="1:15" x14ac:dyDescent="0.25">
      <c r="A1372" t="s">
        <v>3153</v>
      </c>
      <c r="B1372" t="s">
        <v>70</v>
      </c>
      <c r="C1372">
        <v>2011</v>
      </c>
      <c r="D1372" t="s">
        <v>66</v>
      </c>
      <c r="E1372" t="s">
        <v>99</v>
      </c>
      <c r="F1372" t="s">
        <v>715</v>
      </c>
      <c r="G1372">
        <v>920</v>
      </c>
      <c r="H1372" t="s">
        <v>20</v>
      </c>
      <c r="I1372" t="s">
        <v>151</v>
      </c>
      <c r="J1372" t="s">
        <v>125</v>
      </c>
      <c r="K1372" s="4">
        <v>455.54</v>
      </c>
      <c r="L1372" t="s">
        <v>3154</v>
      </c>
      <c r="M1372" s="1">
        <v>46934</v>
      </c>
      <c r="N1372" t="s">
        <v>75</v>
      </c>
      <c r="O1372" t="s">
        <v>33</v>
      </c>
    </row>
    <row r="1373" spans="1:15" x14ac:dyDescent="0.25">
      <c r="A1373" t="s">
        <v>3155</v>
      </c>
      <c r="B1373" t="s">
        <v>138</v>
      </c>
      <c r="C1373">
        <v>2006</v>
      </c>
      <c r="D1373" t="s">
        <v>27</v>
      </c>
      <c r="E1373" t="s">
        <v>104</v>
      </c>
      <c r="F1373" t="s">
        <v>180</v>
      </c>
      <c r="G1373">
        <v>330</v>
      </c>
      <c r="H1373" t="s">
        <v>38</v>
      </c>
      <c r="I1373" t="s">
        <v>48</v>
      </c>
      <c r="J1373" t="s">
        <v>101</v>
      </c>
      <c r="K1373" s="4">
        <v>129.88999999999999</v>
      </c>
      <c r="L1373" t="s">
        <v>3156</v>
      </c>
      <c r="M1373" s="1">
        <v>46135</v>
      </c>
      <c r="N1373" t="s">
        <v>24</v>
      </c>
      <c r="O1373" t="s">
        <v>25</v>
      </c>
    </row>
    <row r="1374" spans="1:15" x14ac:dyDescent="0.25">
      <c r="A1374" t="s">
        <v>3157</v>
      </c>
      <c r="B1374" t="s">
        <v>35</v>
      </c>
      <c r="C1374">
        <v>1992</v>
      </c>
      <c r="D1374" t="s">
        <v>36</v>
      </c>
      <c r="E1374" t="s">
        <v>99</v>
      </c>
      <c r="F1374" t="s">
        <v>208</v>
      </c>
      <c r="G1374">
        <v>640</v>
      </c>
      <c r="H1374" t="s">
        <v>56</v>
      </c>
      <c r="I1374" t="s">
        <v>80</v>
      </c>
      <c r="J1374" t="s">
        <v>146</v>
      </c>
      <c r="K1374" s="4">
        <v>212.49</v>
      </c>
      <c r="L1374" t="s">
        <v>3158</v>
      </c>
      <c r="M1374" s="1">
        <v>46250</v>
      </c>
      <c r="N1374" t="s">
        <v>41</v>
      </c>
      <c r="O1374" t="s">
        <v>33</v>
      </c>
    </row>
    <row r="1375" spans="1:15" x14ac:dyDescent="0.25">
      <c r="A1375" t="s">
        <v>3159</v>
      </c>
      <c r="B1375" t="s">
        <v>70</v>
      </c>
      <c r="C1375">
        <v>1993</v>
      </c>
      <c r="D1375" t="s">
        <v>83</v>
      </c>
      <c r="E1375" t="s">
        <v>78</v>
      </c>
      <c r="F1375" t="s">
        <v>135</v>
      </c>
      <c r="G1375">
        <v>680</v>
      </c>
      <c r="H1375" t="s">
        <v>47</v>
      </c>
      <c r="I1375" t="s">
        <v>186</v>
      </c>
      <c r="J1375" t="s">
        <v>92</v>
      </c>
      <c r="K1375" s="4">
        <v>474.65</v>
      </c>
      <c r="L1375" t="s">
        <v>3160</v>
      </c>
      <c r="M1375" s="1">
        <v>46526</v>
      </c>
      <c r="N1375" t="s">
        <v>41</v>
      </c>
      <c r="O1375" t="s">
        <v>25</v>
      </c>
    </row>
    <row r="1376" spans="1:15" x14ac:dyDescent="0.25">
      <c r="A1376" t="s">
        <v>3119</v>
      </c>
      <c r="B1376" t="s">
        <v>98</v>
      </c>
      <c r="C1376">
        <v>2012</v>
      </c>
      <c r="D1376" t="s">
        <v>17</v>
      </c>
      <c r="E1376" t="s">
        <v>78</v>
      </c>
      <c r="F1376" t="s">
        <v>139</v>
      </c>
      <c r="G1376">
        <v>70</v>
      </c>
      <c r="H1376" t="s">
        <v>29</v>
      </c>
      <c r="I1376" t="s">
        <v>80</v>
      </c>
      <c r="J1376" t="s">
        <v>22</v>
      </c>
      <c r="K1376" s="4">
        <v>406.77</v>
      </c>
      <c r="L1376" t="s">
        <v>3161</v>
      </c>
      <c r="M1376" s="1">
        <v>46658</v>
      </c>
      <c r="N1376" t="s">
        <v>75</v>
      </c>
      <c r="O1376" t="s">
        <v>25</v>
      </c>
    </row>
    <row r="1377" spans="1:15" x14ac:dyDescent="0.25">
      <c r="A1377" t="s">
        <v>3162</v>
      </c>
      <c r="B1377" t="s">
        <v>138</v>
      </c>
      <c r="C1377">
        <v>2014</v>
      </c>
      <c r="D1377" t="s">
        <v>17</v>
      </c>
      <c r="E1377" t="s">
        <v>104</v>
      </c>
      <c r="F1377" t="s">
        <v>493</v>
      </c>
      <c r="G1377">
        <v>390</v>
      </c>
      <c r="H1377" t="s">
        <v>29</v>
      </c>
      <c r="I1377" t="s">
        <v>186</v>
      </c>
      <c r="J1377" t="s">
        <v>125</v>
      </c>
      <c r="K1377" s="4">
        <v>153.84</v>
      </c>
      <c r="L1377" t="s">
        <v>3163</v>
      </c>
      <c r="M1377" s="1">
        <v>46818</v>
      </c>
      <c r="N1377" t="s">
        <v>24</v>
      </c>
      <c r="O1377" t="s">
        <v>25</v>
      </c>
    </row>
    <row r="1378" spans="1:15" x14ac:dyDescent="0.25">
      <c r="A1378" t="s">
        <v>3164</v>
      </c>
      <c r="B1378" t="s">
        <v>138</v>
      </c>
      <c r="C1378">
        <v>2021</v>
      </c>
      <c r="D1378" t="s">
        <v>89</v>
      </c>
      <c r="E1378" t="s">
        <v>18</v>
      </c>
      <c r="F1378" t="s">
        <v>217</v>
      </c>
      <c r="G1378">
        <v>880</v>
      </c>
      <c r="H1378" t="s">
        <v>62</v>
      </c>
      <c r="I1378" t="s">
        <v>48</v>
      </c>
      <c r="J1378" t="s">
        <v>146</v>
      </c>
      <c r="K1378" s="4">
        <v>388.45</v>
      </c>
      <c r="L1378" t="s">
        <v>3165</v>
      </c>
      <c r="M1378" s="1">
        <v>46084</v>
      </c>
      <c r="N1378" t="s">
        <v>24</v>
      </c>
      <c r="O1378" t="s">
        <v>25</v>
      </c>
    </row>
    <row r="1379" spans="1:15" x14ac:dyDescent="0.25">
      <c r="A1379" t="s">
        <v>3166</v>
      </c>
      <c r="B1379" t="s">
        <v>59</v>
      </c>
      <c r="C1379">
        <v>2002</v>
      </c>
      <c r="D1379" t="s">
        <v>17</v>
      </c>
      <c r="E1379" t="s">
        <v>18</v>
      </c>
      <c r="F1379" t="s">
        <v>3167</v>
      </c>
      <c r="G1379">
        <v>860</v>
      </c>
      <c r="H1379" t="s">
        <v>38</v>
      </c>
      <c r="I1379" t="s">
        <v>73</v>
      </c>
      <c r="J1379" t="s">
        <v>125</v>
      </c>
      <c r="K1379" s="4">
        <v>132.21</v>
      </c>
      <c r="L1379" t="s">
        <v>3168</v>
      </c>
      <c r="M1379" s="1">
        <v>46389</v>
      </c>
      <c r="N1379" t="s">
        <v>41</v>
      </c>
      <c r="O1379" t="s">
        <v>51</v>
      </c>
    </row>
    <row r="1380" spans="1:15" x14ac:dyDescent="0.25">
      <c r="A1380" t="s">
        <v>2448</v>
      </c>
      <c r="B1380" t="s">
        <v>98</v>
      </c>
      <c r="C1380">
        <v>2016</v>
      </c>
      <c r="D1380" t="s">
        <v>71</v>
      </c>
      <c r="E1380" t="s">
        <v>99</v>
      </c>
      <c r="F1380" t="s">
        <v>1522</v>
      </c>
      <c r="G1380">
        <v>990</v>
      </c>
      <c r="H1380" t="s">
        <v>47</v>
      </c>
      <c r="I1380" t="s">
        <v>48</v>
      </c>
      <c r="J1380" t="s">
        <v>110</v>
      </c>
      <c r="K1380" s="4">
        <v>293.5</v>
      </c>
      <c r="L1380" t="s">
        <v>3169</v>
      </c>
      <c r="M1380" s="1">
        <v>45988</v>
      </c>
      <c r="N1380" t="s">
        <v>24</v>
      </c>
      <c r="O1380" t="s">
        <v>33</v>
      </c>
    </row>
    <row r="1381" spans="1:15" x14ac:dyDescent="0.25">
      <c r="A1381" t="s">
        <v>238</v>
      </c>
      <c r="B1381" t="s">
        <v>43</v>
      </c>
      <c r="C1381">
        <v>2013</v>
      </c>
      <c r="D1381" t="s">
        <v>83</v>
      </c>
      <c r="E1381" t="s">
        <v>72</v>
      </c>
      <c r="F1381" t="s">
        <v>815</v>
      </c>
      <c r="G1381">
        <v>520</v>
      </c>
      <c r="H1381" t="s">
        <v>56</v>
      </c>
      <c r="I1381" t="s">
        <v>48</v>
      </c>
      <c r="J1381" t="s">
        <v>22</v>
      </c>
      <c r="K1381" s="4">
        <v>371.4</v>
      </c>
      <c r="L1381" t="s">
        <v>3170</v>
      </c>
      <c r="M1381" s="1">
        <v>46077</v>
      </c>
      <c r="N1381" t="s">
        <v>24</v>
      </c>
      <c r="O1381" t="s">
        <v>25</v>
      </c>
    </row>
    <row r="1382" spans="1:15" x14ac:dyDescent="0.25">
      <c r="A1382" t="s">
        <v>3171</v>
      </c>
      <c r="B1382" t="s">
        <v>134</v>
      </c>
      <c r="C1382">
        <v>1996</v>
      </c>
      <c r="D1382" t="s">
        <v>108</v>
      </c>
      <c r="E1382" t="s">
        <v>119</v>
      </c>
      <c r="F1382" t="s">
        <v>135</v>
      </c>
      <c r="G1382">
        <v>250</v>
      </c>
      <c r="H1382" t="s">
        <v>38</v>
      </c>
      <c r="I1382" t="s">
        <v>48</v>
      </c>
      <c r="J1382" t="s">
        <v>92</v>
      </c>
      <c r="K1382" s="4">
        <v>405.95</v>
      </c>
      <c r="L1382" t="s">
        <v>3172</v>
      </c>
      <c r="M1382" s="1">
        <v>46325</v>
      </c>
      <c r="N1382" t="s">
        <v>24</v>
      </c>
      <c r="O1382" t="s">
        <v>51</v>
      </c>
    </row>
    <row r="1383" spans="1:15" x14ac:dyDescent="0.25">
      <c r="A1383" t="s">
        <v>3173</v>
      </c>
      <c r="B1383" t="s">
        <v>59</v>
      </c>
      <c r="C1383">
        <v>1994</v>
      </c>
      <c r="D1383" t="s">
        <v>83</v>
      </c>
      <c r="E1383" t="s">
        <v>54</v>
      </c>
      <c r="F1383" t="s">
        <v>3174</v>
      </c>
      <c r="G1383">
        <v>120</v>
      </c>
      <c r="H1383" t="s">
        <v>56</v>
      </c>
      <c r="I1383" t="s">
        <v>186</v>
      </c>
      <c r="J1383" t="s">
        <v>125</v>
      </c>
      <c r="K1383" s="4">
        <v>197.07</v>
      </c>
      <c r="L1383" t="s">
        <v>3175</v>
      </c>
      <c r="M1383" s="1">
        <v>46341</v>
      </c>
      <c r="N1383" t="s">
        <v>24</v>
      </c>
      <c r="O1383" t="s">
        <v>51</v>
      </c>
    </row>
    <row r="1384" spans="1:15" x14ac:dyDescent="0.25">
      <c r="A1384" t="s">
        <v>3176</v>
      </c>
      <c r="B1384" t="s">
        <v>35</v>
      </c>
      <c r="C1384">
        <v>2022</v>
      </c>
      <c r="D1384" t="s">
        <v>44</v>
      </c>
      <c r="E1384" t="s">
        <v>72</v>
      </c>
      <c r="F1384" t="s">
        <v>185</v>
      </c>
      <c r="G1384">
        <v>170</v>
      </c>
      <c r="H1384" t="s">
        <v>38</v>
      </c>
      <c r="I1384" t="s">
        <v>151</v>
      </c>
      <c r="J1384" t="s">
        <v>125</v>
      </c>
      <c r="K1384" s="4">
        <v>376.72</v>
      </c>
      <c r="L1384" t="s">
        <v>3177</v>
      </c>
      <c r="M1384" s="1">
        <v>46307</v>
      </c>
      <c r="N1384" t="s">
        <v>75</v>
      </c>
      <c r="O1384" t="s">
        <v>51</v>
      </c>
    </row>
    <row r="1385" spans="1:15" x14ac:dyDescent="0.25">
      <c r="A1385" t="s">
        <v>3178</v>
      </c>
      <c r="B1385" t="s">
        <v>98</v>
      </c>
      <c r="C1385">
        <v>2016</v>
      </c>
      <c r="D1385" t="s">
        <v>36</v>
      </c>
      <c r="E1385" t="s">
        <v>45</v>
      </c>
      <c r="F1385" t="s">
        <v>2557</v>
      </c>
      <c r="G1385">
        <v>820</v>
      </c>
      <c r="H1385" t="s">
        <v>47</v>
      </c>
      <c r="I1385" t="s">
        <v>86</v>
      </c>
      <c r="J1385" t="s">
        <v>121</v>
      </c>
      <c r="K1385" s="4">
        <v>40.99</v>
      </c>
      <c r="L1385" t="s">
        <v>3179</v>
      </c>
      <c r="M1385" s="1">
        <v>46176</v>
      </c>
      <c r="N1385" t="s">
        <v>24</v>
      </c>
      <c r="O1385" t="s">
        <v>25</v>
      </c>
    </row>
    <row r="1386" spans="1:15" x14ac:dyDescent="0.25">
      <c r="A1386" t="s">
        <v>3180</v>
      </c>
      <c r="B1386" t="s">
        <v>43</v>
      </c>
      <c r="C1386">
        <v>2005</v>
      </c>
      <c r="D1386" t="s">
        <v>66</v>
      </c>
      <c r="E1386" t="s">
        <v>119</v>
      </c>
      <c r="F1386" t="s">
        <v>185</v>
      </c>
      <c r="G1386">
        <v>480</v>
      </c>
      <c r="H1386" t="s">
        <v>29</v>
      </c>
      <c r="I1386" t="s">
        <v>86</v>
      </c>
      <c r="J1386" t="s">
        <v>63</v>
      </c>
      <c r="K1386" s="4">
        <v>259.82</v>
      </c>
      <c r="L1386" t="s">
        <v>3181</v>
      </c>
      <c r="M1386" s="1">
        <v>46694</v>
      </c>
      <c r="N1386" t="s">
        <v>75</v>
      </c>
      <c r="O1386" t="s">
        <v>25</v>
      </c>
    </row>
    <row r="1387" spans="1:15" x14ac:dyDescent="0.25">
      <c r="A1387" t="s">
        <v>3182</v>
      </c>
      <c r="B1387" t="s">
        <v>53</v>
      </c>
      <c r="C1387">
        <v>2006</v>
      </c>
      <c r="D1387" t="s">
        <v>66</v>
      </c>
      <c r="E1387" t="s">
        <v>45</v>
      </c>
      <c r="F1387" t="s">
        <v>3183</v>
      </c>
      <c r="G1387">
        <v>520</v>
      </c>
      <c r="H1387" t="s">
        <v>47</v>
      </c>
      <c r="I1387" t="s">
        <v>80</v>
      </c>
      <c r="J1387" t="s">
        <v>101</v>
      </c>
      <c r="K1387" s="4">
        <v>43.36</v>
      </c>
      <c r="L1387" t="s">
        <v>3184</v>
      </c>
      <c r="M1387" s="1">
        <v>46041</v>
      </c>
      <c r="N1387" t="s">
        <v>24</v>
      </c>
      <c r="O1387" t="s">
        <v>51</v>
      </c>
    </row>
    <row r="1388" spans="1:15" x14ac:dyDescent="0.25">
      <c r="A1388" t="s">
        <v>3185</v>
      </c>
      <c r="B1388" t="s">
        <v>138</v>
      </c>
      <c r="C1388">
        <v>2022</v>
      </c>
      <c r="D1388" t="s">
        <v>44</v>
      </c>
      <c r="E1388" t="s">
        <v>104</v>
      </c>
      <c r="F1388" t="s">
        <v>3186</v>
      </c>
      <c r="G1388">
        <v>470</v>
      </c>
      <c r="H1388" t="s">
        <v>47</v>
      </c>
      <c r="I1388" t="s">
        <v>48</v>
      </c>
      <c r="J1388" t="s">
        <v>63</v>
      </c>
      <c r="K1388" s="4">
        <v>240</v>
      </c>
      <c r="L1388" t="s">
        <v>3187</v>
      </c>
      <c r="M1388" s="1">
        <v>46511</v>
      </c>
      <c r="N1388" t="s">
        <v>24</v>
      </c>
      <c r="O1388" t="s">
        <v>25</v>
      </c>
    </row>
    <row r="1389" spans="1:15" x14ac:dyDescent="0.25">
      <c r="A1389" t="s">
        <v>3188</v>
      </c>
      <c r="B1389" t="s">
        <v>138</v>
      </c>
      <c r="C1389">
        <v>2001</v>
      </c>
      <c r="D1389" t="s">
        <v>36</v>
      </c>
      <c r="E1389" t="s">
        <v>18</v>
      </c>
      <c r="F1389" t="s">
        <v>684</v>
      </c>
      <c r="G1389">
        <v>850</v>
      </c>
      <c r="H1389" t="s">
        <v>38</v>
      </c>
      <c r="I1389" t="s">
        <v>73</v>
      </c>
      <c r="J1389" t="s">
        <v>49</v>
      </c>
      <c r="K1389" s="4">
        <v>89.4</v>
      </c>
      <c r="L1389" t="s">
        <v>3189</v>
      </c>
      <c r="M1389" s="1">
        <v>46350</v>
      </c>
      <c r="N1389" t="s">
        <v>41</v>
      </c>
      <c r="O1389" t="s">
        <v>51</v>
      </c>
    </row>
    <row r="1390" spans="1:15" x14ac:dyDescent="0.25">
      <c r="A1390" t="s">
        <v>3190</v>
      </c>
      <c r="B1390" t="s">
        <v>134</v>
      </c>
      <c r="C1390">
        <v>2002</v>
      </c>
      <c r="D1390" t="s">
        <v>36</v>
      </c>
      <c r="E1390" t="s">
        <v>119</v>
      </c>
      <c r="F1390" t="s">
        <v>3191</v>
      </c>
      <c r="G1390">
        <v>860</v>
      </c>
      <c r="H1390" t="s">
        <v>85</v>
      </c>
      <c r="I1390" t="s">
        <v>73</v>
      </c>
      <c r="J1390" t="s">
        <v>49</v>
      </c>
      <c r="K1390" s="4">
        <v>111.59</v>
      </c>
      <c r="L1390" t="s">
        <v>3192</v>
      </c>
      <c r="M1390" s="1">
        <v>46028</v>
      </c>
      <c r="N1390" t="s">
        <v>41</v>
      </c>
      <c r="O1390" t="s">
        <v>25</v>
      </c>
    </row>
    <row r="1391" spans="1:15" x14ac:dyDescent="0.25">
      <c r="A1391" t="s">
        <v>3193</v>
      </c>
      <c r="B1391" t="s">
        <v>77</v>
      </c>
      <c r="C1391">
        <v>2019</v>
      </c>
      <c r="D1391" t="s">
        <v>17</v>
      </c>
      <c r="E1391" t="s">
        <v>119</v>
      </c>
      <c r="F1391" t="s">
        <v>139</v>
      </c>
      <c r="G1391">
        <v>130</v>
      </c>
      <c r="H1391" t="s">
        <v>85</v>
      </c>
      <c r="I1391" t="s">
        <v>80</v>
      </c>
      <c r="J1391" t="s">
        <v>146</v>
      </c>
      <c r="K1391" s="4">
        <v>97.42</v>
      </c>
      <c r="L1391" t="s">
        <v>3194</v>
      </c>
      <c r="M1391" s="1">
        <v>46725</v>
      </c>
      <c r="N1391" t="s">
        <v>24</v>
      </c>
      <c r="O1391" t="s">
        <v>51</v>
      </c>
    </row>
    <row r="1392" spans="1:15" x14ac:dyDescent="0.25">
      <c r="A1392" t="s">
        <v>2848</v>
      </c>
      <c r="B1392" t="s">
        <v>138</v>
      </c>
      <c r="C1392">
        <v>2014</v>
      </c>
      <c r="D1392" t="s">
        <v>95</v>
      </c>
      <c r="E1392" t="s">
        <v>18</v>
      </c>
      <c r="F1392" t="s">
        <v>761</v>
      </c>
      <c r="G1392">
        <v>730</v>
      </c>
      <c r="H1392" t="s">
        <v>47</v>
      </c>
      <c r="I1392" t="s">
        <v>21</v>
      </c>
      <c r="J1392" t="s">
        <v>101</v>
      </c>
      <c r="K1392" s="4">
        <v>32.31</v>
      </c>
      <c r="L1392" t="s">
        <v>3195</v>
      </c>
      <c r="M1392" s="1">
        <v>46952</v>
      </c>
      <c r="N1392" t="s">
        <v>75</v>
      </c>
      <c r="O1392" t="s">
        <v>51</v>
      </c>
    </row>
    <row r="1393" spans="1:15" x14ac:dyDescent="0.25">
      <c r="A1393" t="s">
        <v>3196</v>
      </c>
      <c r="B1393" t="s">
        <v>70</v>
      </c>
      <c r="C1393">
        <v>2015</v>
      </c>
      <c r="D1393" t="s">
        <v>108</v>
      </c>
      <c r="E1393" t="s">
        <v>116</v>
      </c>
      <c r="F1393" t="s">
        <v>217</v>
      </c>
      <c r="G1393">
        <v>140</v>
      </c>
      <c r="H1393" t="s">
        <v>56</v>
      </c>
      <c r="I1393" t="s">
        <v>86</v>
      </c>
      <c r="J1393" t="s">
        <v>31</v>
      </c>
      <c r="K1393" s="4">
        <v>182.34</v>
      </c>
      <c r="L1393" t="s">
        <v>3197</v>
      </c>
      <c r="M1393" s="1">
        <v>46836</v>
      </c>
      <c r="N1393" t="s">
        <v>75</v>
      </c>
      <c r="O1393" t="s">
        <v>25</v>
      </c>
    </row>
    <row r="1394" spans="1:15" x14ac:dyDescent="0.25">
      <c r="A1394" t="s">
        <v>3198</v>
      </c>
      <c r="B1394" t="s">
        <v>43</v>
      </c>
      <c r="C1394">
        <v>1993</v>
      </c>
      <c r="D1394" t="s">
        <v>108</v>
      </c>
      <c r="E1394" t="s">
        <v>45</v>
      </c>
      <c r="F1394" t="s">
        <v>3106</v>
      </c>
      <c r="G1394">
        <v>650</v>
      </c>
      <c r="H1394" t="s">
        <v>29</v>
      </c>
      <c r="I1394" t="s">
        <v>186</v>
      </c>
      <c r="J1394" t="s">
        <v>125</v>
      </c>
      <c r="K1394" s="4">
        <v>103.24</v>
      </c>
      <c r="L1394" t="s">
        <v>3199</v>
      </c>
      <c r="M1394" s="1">
        <v>46429</v>
      </c>
      <c r="N1394" t="s">
        <v>24</v>
      </c>
      <c r="O1394" t="s">
        <v>51</v>
      </c>
    </row>
    <row r="1395" spans="1:15" x14ac:dyDescent="0.25">
      <c r="A1395" t="s">
        <v>3200</v>
      </c>
      <c r="B1395" t="s">
        <v>134</v>
      </c>
      <c r="C1395">
        <v>1994</v>
      </c>
      <c r="D1395" t="s">
        <v>108</v>
      </c>
      <c r="E1395" t="s">
        <v>99</v>
      </c>
      <c r="F1395" t="s">
        <v>67</v>
      </c>
      <c r="G1395">
        <v>110</v>
      </c>
      <c r="H1395" t="s">
        <v>85</v>
      </c>
      <c r="I1395" t="s">
        <v>48</v>
      </c>
      <c r="J1395" t="s">
        <v>92</v>
      </c>
      <c r="K1395" s="4">
        <v>318.18</v>
      </c>
      <c r="L1395" t="s">
        <v>3201</v>
      </c>
      <c r="M1395" s="1">
        <v>46960</v>
      </c>
      <c r="N1395" t="s">
        <v>24</v>
      </c>
      <c r="O1395" t="s">
        <v>25</v>
      </c>
    </row>
    <row r="1396" spans="1:15" x14ac:dyDescent="0.25">
      <c r="A1396" t="s">
        <v>3202</v>
      </c>
      <c r="B1396" t="s">
        <v>77</v>
      </c>
      <c r="C1396">
        <v>2024</v>
      </c>
      <c r="D1396" t="s">
        <v>95</v>
      </c>
      <c r="E1396" t="s">
        <v>119</v>
      </c>
      <c r="F1396" t="s">
        <v>135</v>
      </c>
      <c r="G1396">
        <v>50</v>
      </c>
      <c r="H1396" t="s">
        <v>47</v>
      </c>
      <c r="I1396" t="s">
        <v>186</v>
      </c>
      <c r="J1396" t="s">
        <v>121</v>
      </c>
      <c r="K1396" s="4">
        <v>92.91</v>
      </c>
      <c r="L1396" t="s">
        <v>3203</v>
      </c>
      <c r="M1396" s="1">
        <v>46419</v>
      </c>
      <c r="N1396" t="s">
        <v>41</v>
      </c>
      <c r="O1396" t="s">
        <v>25</v>
      </c>
    </row>
    <row r="1397" spans="1:15" x14ac:dyDescent="0.25">
      <c r="A1397" t="s">
        <v>3204</v>
      </c>
      <c r="B1397" t="s">
        <v>43</v>
      </c>
      <c r="C1397">
        <v>1993</v>
      </c>
      <c r="D1397" t="s">
        <v>66</v>
      </c>
      <c r="E1397" t="s">
        <v>78</v>
      </c>
      <c r="F1397" t="s">
        <v>250</v>
      </c>
      <c r="G1397">
        <v>460</v>
      </c>
      <c r="H1397" t="s">
        <v>85</v>
      </c>
      <c r="I1397" t="s">
        <v>80</v>
      </c>
      <c r="J1397" t="s">
        <v>110</v>
      </c>
      <c r="K1397" s="4">
        <v>230.14</v>
      </c>
      <c r="L1397" t="s">
        <v>3205</v>
      </c>
      <c r="M1397" s="1">
        <v>46652</v>
      </c>
      <c r="N1397" t="s">
        <v>24</v>
      </c>
      <c r="O1397" t="s">
        <v>25</v>
      </c>
    </row>
    <row r="1398" spans="1:15" x14ac:dyDescent="0.25">
      <c r="A1398" t="s">
        <v>3206</v>
      </c>
      <c r="B1398" t="s">
        <v>43</v>
      </c>
      <c r="C1398">
        <v>1990</v>
      </c>
      <c r="D1398" t="s">
        <v>66</v>
      </c>
      <c r="E1398" t="s">
        <v>119</v>
      </c>
      <c r="F1398" t="s">
        <v>28</v>
      </c>
      <c r="G1398">
        <v>420</v>
      </c>
      <c r="H1398" t="s">
        <v>62</v>
      </c>
      <c r="I1398" t="s">
        <v>39</v>
      </c>
      <c r="J1398" t="s">
        <v>22</v>
      </c>
      <c r="K1398" s="4">
        <v>276.08999999999997</v>
      </c>
      <c r="L1398" t="s">
        <v>3207</v>
      </c>
      <c r="M1398" s="1">
        <v>46445</v>
      </c>
      <c r="N1398" t="s">
        <v>41</v>
      </c>
      <c r="O1398" t="s">
        <v>25</v>
      </c>
    </row>
    <row r="1399" spans="1:15" x14ac:dyDescent="0.25">
      <c r="A1399" t="s">
        <v>3208</v>
      </c>
      <c r="B1399" t="s">
        <v>43</v>
      </c>
      <c r="C1399">
        <v>2019</v>
      </c>
      <c r="D1399" t="s">
        <v>108</v>
      </c>
      <c r="E1399" t="s">
        <v>104</v>
      </c>
      <c r="F1399" t="s">
        <v>180</v>
      </c>
      <c r="G1399">
        <v>140</v>
      </c>
      <c r="H1399" t="s">
        <v>29</v>
      </c>
      <c r="I1399" t="s">
        <v>21</v>
      </c>
      <c r="J1399" t="s">
        <v>63</v>
      </c>
      <c r="K1399" s="4">
        <v>426.41</v>
      </c>
      <c r="L1399" t="s">
        <v>3209</v>
      </c>
      <c r="M1399" s="1">
        <v>46729</v>
      </c>
      <c r="N1399" t="s">
        <v>24</v>
      </c>
      <c r="O1399" t="s">
        <v>25</v>
      </c>
    </row>
    <row r="1400" spans="1:15" x14ac:dyDescent="0.25">
      <c r="A1400" t="s">
        <v>3210</v>
      </c>
      <c r="B1400" t="s">
        <v>35</v>
      </c>
      <c r="C1400">
        <v>1996</v>
      </c>
      <c r="D1400" t="s">
        <v>17</v>
      </c>
      <c r="E1400" t="s">
        <v>18</v>
      </c>
      <c r="F1400" t="s">
        <v>2232</v>
      </c>
      <c r="G1400">
        <v>640</v>
      </c>
      <c r="H1400" t="s">
        <v>47</v>
      </c>
      <c r="I1400" t="s">
        <v>91</v>
      </c>
      <c r="J1400" t="s">
        <v>92</v>
      </c>
      <c r="K1400" s="4">
        <v>388.6</v>
      </c>
      <c r="L1400" t="s">
        <v>3211</v>
      </c>
      <c r="M1400" s="1">
        <v>45901</v>
      </c>
      <c r="N1400" t="s">
        <v>41</v>
      </c>
      <c r="O1400" t="s">
        <v>33</v>
      </c>
    </row>
    <row r="1401" spans="1:15" x14ac:dyDescent="0.25">
      <c r="A1401" t="s">
        <v>2492</v>
      </c>
      <c r="B1401" t="s">
        <v>16</v>
      </c>
      <c r="C1401">
        <v>2015</v>
      </c>
      <c r="D1401" t="s">
        <v>108</v>
      </c>
      <c r="E1401" t="s">
        <v>18</v>
      </c>
      <c r="F1401" t="s">
        <v>296</v>
      </c>
      <c r="G1401">
        <v>540</v>
      </c>
      <c r="H1401" t="s">
        <v>29</v>
      </c>
      <c r="I1401" t="s">
        <v>91</v>
      </c>
      <c r="J1401" t="s">
        <v>92</v>
      </c>
      <c r="K1401" s="4">
        <v>233.24</v>
      </c>
      <c r="L1401" t="s">
        <v>3212</v>
      </c>
      <c r="M1401" s="1">
        <v>46591</v>
      </c>
      <c r="N1401" t="s">
        <v>24</v>
      </c>
      <c r="O1401" t="s">
        <v>51</v>
      </c>
    </row>
    <row r="1402" spans="1:15" x14ac:dyDescent="0.25">
      <c r="A1402" t="s">
        <v>3213</v>
      </c>
      <c r="B1402" t="s">
        <v>59</v>
      </c>
      <c r="C1402">
        <v>2004</v>
      </c>
      <c r="D1402" t="s">
        <v>71</v>
      </c>
      <c r="E1402" t="s">
        <v>18</v>
      </c>
      <c r="F1402" t="s">
        <v>3214</v>
      </c>
      <c r="G1402">
        <v>280</v>
      </c>
      <c r="H1402" t="s">
        <v>20</v>
      </c>
      <c r="I1402" t="s">
        <v>80</v>
      </c>
      <c r="J1402" t="s">
        <v>49</v>
      </c>
      <c r="K1402" s="4">
        <v>498.77</v>
      </c>
      <c r="L1402" t="s">
        <v>3215</v>
      </c>
      <c r="M1402" s="1">
        <v>46395</v>
      </c>
      <c r="N1402" t="s">
        <v>24</v>
      </c>
      <c r="O1402" t="s">
        <v>51</v>
      </c>
    </row>
    <row r="1403" spans="1:15" x14ac:dyDescent="0.25">
      <c r="A1403" t="s">
        <v>3216</v>
      </c>
      <c r="B1403" t="s">
        <v>138</v>
      </c>
      <c r="C1403">
        <v>2016</v>
      </c>
      <c r="D1403" t="s">
        <v>71</v>
      </c>
      <c r="E1403" t="s">
        <v>54</v>
      </c>
      <c r="F1403" t="s">
        <v>317</v>
      </c>
      <c r="G1403">
        <v>540</v>
      </c>
      <c r="H1403" t="s">
        <v>29</v>
      </c>
      <c r="I1403" t="s">
        <v>21</v>
      </c>
      <c r="J1403" t="s">
        <v>125</v>
      </c>
      <c r="K1403" s="4">
        <v>253.24</v>
      </c>
      <c r="L1403" t="s">
        <v>3217</v>
      </c>
      <c r="M1403" s="1">
        <v>46305</v>
      </c>
      <c r="N1403" t="s">
        <v>41</v>
      </c>
      <c r="O1403" t="s">
        <v>25</v>
      </c>
    </row>
    <row r="1404" spans="1:15" x14ac:dyDescent="0.25">
      <c r="A1404" t="s">
        <v>3218</v>
      </c>
      <c r="B1404" t="s">
        <v>43</v>
      </c>
      <c r="C1404">
        <v>2019</v>
      </c>
      <c r="D1404" t="s">
        <v>83</v>
      </c>
      <c r="E1404" t="s">
        <v>116</v>
      </c>
      <c r="F1404" t="s">
        <v>250</v>
      </c>
      <c r="G1404">
        <v>60</v>
      </c>
      <c r="H1404" t="s">
        <v>29</v>
      </c>
      <c r="I1404" t="s">
        <v>39</v>
      </c>
      <c r="J1404" t="s">
        <v>63</v>
      </c>
      <c r="K1404" s="4">
        <v>120.37</v>
      </c>
      <c r="L1404" t="s">
        <v>3219</v>
      </c>
      <c r="M1404" s="1">
        <v>46107</v>
      </c>
      <c r="N1404" t="s">
        <v>41</v>
      </c>
      <c r="O1404" t="s">
        <v>25</v>
      </c>
    </row>
    <row r="1405" spans="1:15" x14ac:dyDescent="0.25">
      <c r="A1405" t="s">
        <v>3220</v>
      </c>
      <c r="B1405" t="s">
        <v>43</v>
      </c>
      <c r="C1405">
        <v>1998</v>
      </c>
      <c r="D1405" t="s">
        <v>44</v>
      </c>
      <c r="E1405" t="s">
        <v>54</v>
      </c>
      <c r="F1405" t="s">
        <v>342</v>
      </c>
      <c r="G1405">
        <v>830</v>
      </c>
      <c r="H1405" t="s">
        <v>47</v>
      </c>
      <c r="I1405" t="s">
        <v>151</v>
      </c>
      <c r="J1405" t="s">
        <v>63</v>
      </c>
      <c r="K1405" s="4">
        <v>493.09</v>
      </c>
      <c r="L1405" t="s">
        <v>3221</v>
      </c>
      <c r="M1405" s="1">
        <v>46690</v>
      </c>
      <c r="N1405" t="s">
        <v>24</v>
      </c>
      <c r="O1405" t="s">
        <v>25</v>
      </c>
    </row>
    <row r="1406" spans="1:15" x14ac:dyDescent="0.25">
      <c r="A1406" t="s">
        <v>3222</v>
      </c>
      <c r="B1406" t="s">
        <v>98</v>
      </c>
      <c r="C1406">
        <v>2005</v>
      </c>
      <c r="D1406" t="s">
        <v>95</v>
      </c>
      <c r="E1406" t="s">
        <v>116</v>
      </c>
      <c r="F1406" t="s">
        <v>3223</v>
      </c>
      <c r="G1406">
        <v>10</v>
      </c>
      <c r="H1406" t="s">
        <v>85</v>
      </c>
      <c r="I1406" t="s">
        <v>80</v>
      </c>
      <c r="J1406" t="s">
        <v>146</v>
      </c>
      <c r="K1406" s="4">
        <v>230.73</v>
      </c>
      <c r="L1406" t="s">
        <v>3224</v>
      </c>
      <c r="M1406" s="1">
        <v>46233</v>
      </c>
      <c r="N1406" t="s">
        <v>24</v>
      </c>
      <c r="O1406" t="s">
        <v>51</v>
      </c>
    </row>
    <row r="1407" spans="1:15" x14ac:dyDescent="0.25">
      <c r="A1407" t="s">
        <v>3225</v>
      </c>
      <c r="B1407" t="s">
        <v>98</v>
      </c>
      <c r="C1407">
        <v>1997</v>
      </c>
      <c r="D1407" t="s">
        <v>17</v>
      </c>
      <c r="E1407" t="s">
        <v>116</v>
      </c>
      <c r="F1407" t="s">
        <v>994</v>
      </c>
      <c r="G1407">
        <v>730</v>
      </c>
      <c r="H1407" t="s">
        <v>38</v>
      </c>
      <c r="I1407" t="s">
        <v>39</v>
      </c>
      <c r="J1407" t="s">
        <v>125</v>
      </c>
      <c r="K1407" s="4">
        <v>237.45</v>
      </c>
      <c r="L1407" t="s">
        <v>3226</v>
      </c>
      <c r="M1407" s="1">
        <v>46809</v>
      </c>
      <c r="N1407" t="s">
        <v>75</v>
      </c>
      <c r="O1407" t="s">
        <v>25</v>
      </c>
    </row>
    <row r="1408" spans="1:15" x14ac:dyDescent="0.25">
      <c r="A1408" t="s">
        <v>3227</v>
      </c>
      <c r="B1408" t="s">
        <v>43</v>
      </c>
      <c r="C1408">
        <v>1993</v>
      </c>
      <c r="D1408" t="s">
        <v>27</v>
      </c>
      <c r="E1408" t="s">
        <v>18</v>
      </c>
      <c r="F1408" t="s">
        <v>1779</v>
      </c>
      <c r="G1408">
        <v>900</v>
      </c>
      <c r="H1408" t="s">
        <v>20</v>
      </c>
      <c r="I1408" t="s">
        <v>80</v>
      </c>
      <c r="J1408" t="s">
        <v>92</v>
      </c>
      <c r="K1408" s="4">
        <v>269.99</v>
      </c>
      <c r="L1408" t="s">
        <v>3228</v>
      </c>
      <c r="M1408" s="1">
        <v>46846</v>
      </c>
      <c r="N1408" t="s">
        <v>24</v>
      </c>
      <c r="O1408" t="s">
        <v>33</v>
      </c>
    </row>
    <row r="1409" spans="1:15" x14ac:dyDescent="0.25">
      <c r="A1409" t="s">
        <v>3229</v>
      </c>
      <c r="B1409" t="s">
        <v>35</v>
      </c>
      <c r="C1409">
        <v>2019</v>
      </c>
      <c r="D1409" t="s">
        <v>95</v>
      </c>
      <c r="E1409" t="s">
        <v>60</v>
      </c>
      <c r="F1409" t="s">
        <v>67</v>
      </c>
      <c r="G1409">
        <v>430</v>
      </c>
      <c r="H1409" t="s">
        <v>47</v>
      </c>
      <c r="I1409" t="s">
        <v>80</v>
      </c>
      <c r="J1409" t="s">
        <v>49</v>
      </c>
      <c r="K1409" s="4">
        <v>344.94</v>
      </c>
      <c r="L1409" t="s">
        <v>3230</v>
      </c>
      <c r="M1409" s="1">
        <v>46190</v>
      </c>
      <c r="N1409" t="s">
        <v>75</v>
      </c>
      <c r="O1409" t="s">
        <v>33</v>
      </c>
    </row>
    <row r="1410" spans="1:15" x14ac:dyDescent="0.25">
      <c r="A1410" t="s">
        <v>3071</v>
      </c>
      <c r="B1410" t="s">
        <v>35</v>
      </c>
      <c r="C1410">
        <v>2014</v>
      </c>
      <c r="D1410" t="s">
        <v>66</v>
      </c>
      <c r="E1410" t="s">
        <v>18</v>
      </c>
      <c r="F1410" t="s">
        <v>3231</v>
      </c>
      <c r="G1410">
        <v>30</v>
      </c>
      <c r="H1410" t="s">
        <v>20</v>
      </c>
      <c r="I1410" t="s">
        <v>73</v>
      </c>
      <c r="J1410" t="s">
        <v>121</v>
      </c>
      <c r="K1410" s="4">
        <v>459.01</v>
      </c>
      <c r="L1410" t="s">
        <v>3232</v>
      </c>
      <c r="M1410" s="1">
        <v>46108</v>
      </c>
      <c r="N1410" t="s">
        <v>41</v>
      </c>
      <c r="O1410" t="s">
        <v>51</v>
      </c>
    </row>
    <row r="1411" spans="1:15" x14ac:dyDescent="0.25">
      <c r="A1411" t="s">
        <v>3233</v>
      </c>
      <c r="B1411" t="s">
        <v>138</v>
      </c>
      <c r="C1411">
        <v>2013</v>
      </c>
      <c r="D1411" t="s">
        <v>44</v>
      </c>
      <c r="E1411" t="s">
        <v>54</v>
      </c>
      <c r="F1411" t="s">
        <v>1522</v>
      </c>
      <c r="G1411">
        <v>110</v>
      </c>
      <c r="H1411" t="s">
        <v>56</v>
      </c>
      <c r="I1411" t="s">
        <v>186</v>
      </c>
      <c r="J1411" t="s">
        <v>63</v>
      </c>
      <c r="K1411" s="4">
        <v>77.2</v>
      </c>
      <c r="L1411" t="s">
        <v>3234</v>
      </c>
      <c r="M1411" s="1">
        <v>46790</v>
      </c>
      <c r="N1411" t="s">
        <v>24</v>
      </c>
      <c r="O1411" t="s">
        <v>33</v>
      </c>
    </row>
    <row r="1412" spans="1:15" x14ac:dyDescent="0.25">
      <c r="A1412" t="s">
        <v>3235</v>
      </c>
      <c r="B1412" t="s">
        <v>16</v>
      </c>
      <c r="C1412">
        <v>2001</v>
      </c>
      <c r="D1412" t="s">
        <v>36</v>
      </c>
      <c r="E1412" t="s">
        <v>99</v>
      </c>
      <c r="F1412" t="s">
        <v>2058</v>
      </c>
      <c r="G1412">
        <v>90</v>
      </c>
      <c r="H1412" t="s">
        <v>47</v>
      </c>
      <c r="I1412" t="s">
        <v>21</v>
      </c>
      <c r="J1412" t="s">
        <v>92</v>
      </c>
      <c r="K1412" s="4">
        <v>85.14</v>
      </c>
      <c r="L1412" t="s">
        <v>3236</v>
      </c>
      <c r="M1412" s="1">
        <v>46465</v>
      </c>
      <c r="N1412" t="s">
        <v>75</v>
      </c>
      <c r="O1412" t="s">
        <v>51</v>
      </c>
    </row>
    <row r="1413" spans="1:15" x14ac:dyDescent="0.25">
      <c r="A1413" t="s">
        <v>3237</v>
      </c>
      <c r="B1413" t="s">
        <v>134</v>
      </c>
      <c r="C1413">
        <v>2010</v>
      </c>
      <c r="D1413" t="s">
        <v>36</v>
      </c>
      <c r="E1413" t="s">
        <v>119</v>
      </c>
      <c r="F1413" t="s">
        <v>162</v>
      </c>
      <c r="G1413">
        <v>930</v>
      </c>
      <c r="H1413" t="s">
        <v>29</v>
      </c>
      <c r="I1413" t="s">
        <v>21</v>
      </c>
      <c r="J1413" t="s">
        <v>101</v>
      </c>
      <c r="K1413" s="4">
        <v>446.36</v>
      </c>
      <c r="L1413" t="s">
        <v>3238</v>
      </c>
      <c r="M1413" s="1">
        <v>46812</v>
      </c>
      <c r="N1413" t="s">
        <v>41</v>
      </c>
      <c r="O1413" t="s">
        <v>33</v>
      </c>
    </row>
    <row r="1414" spans="1:15" x14ac:dyDescent="0.25">
      <c r="A1414" t="s">
        <v>3239</v>
      </c>
      <c r="B1414" t="s">
        <v>53</v>
      </c>
      <c r="C1414">
        <v>2017</v>
      </c>
      <c r="D1414" t="s">
        <v>66</v>
      </c>
      <c r="E1414" t="s">
        <v>45</v>
      </c>
      <c r="F1414" t="s">
        <v>2042</v>
      </c>
      <c r="G1414">
        <v>780</v>
      </c>
      <c r="H1414" t="s">
        <v>62</v>
      </c>
      <c r="I1414" t="s">
        <v>186</v>
      </c>
      <c r="J1414" t="s">
        <v>110</v>
      </c>
      <c r="K1414" s="4">
        <v>373.39</v>
      </c>
      <c r="L1414" t="s">
        <v>3240</v>
      </c>
      <c r="M1414" s="1">
        <v>46690</v>
      </c>
      <c r="N1414" t="s">
        <v>24</v>
      </c>
      <c r="O1414" t="s">
        <v>25</v>
      </c>
    </row>
    <row r="1415" spans="1:15" x14ac:dyDescent="0.25">
      <c r="A1415" t="s">
        <v>3241</v>
      </c>
      <c r="B1415" t="s">
        <v>35</v>
      </c>
      <c r="C1415">
        <v>1995</v>
      </c>
      <c r="D1415" t="s">
        <v>17</v>
      </c>
      <c r="E1415" t="s">
        <v>116</v>
      </c>
      <c r="F1415" t="s">
        <v>135</v>
      </c>
      <c r="G1415">
        <v>20</v>
      </c>
      <c r="H1415" t="s">
        <v>62</v>
      </c>
      <c r="I1415" t="s">
        <v>39</v>
      </c>
      <c r="J1415" t="s">
        <v>22</v>
      </c>
      <c r="K1415" s="4">
        <v>321.54000000000002</v>
      </c>
      <c r="L1415" t="s">
        <v>3242</v>
      </c>
      <c r="M1415" s="1">
        <v>46587</v>
      </c>
      <c r="N1415" t="s">
        <v>41</v>
      </c>
      <c r="O1415" t="s">
        <v>25</v>
      </c>
    </row>
    <row r="1416" spans="1:15" x14ac:dyDescent="0.25">
      <c r="A1416" t="s">
        <v>3243</v>
      </c>
      <c r="B1416" t="s">
        <v>77</v>
      </c>
      <c r="C1416">
        <v>2017</v>
      </c>
      <c r="D1416" t="s">
        <v>66</v>
      </c>
      <c r="E1416" t="s">
        <v>119</v>
      </c>
      <c r="F1416" t="s">
        <v>654</v>
      </c>
      <c r="G1416">
        <v>130</v>
      </c>
      <c r="H1416" t="s">
        <v>62</v>
      </c>
      <c r="I1416" t="s">
        <v>48</v>
      </c>
      <c r="J1416" t="s">
        <v>49</v>
      </c>
      <c r="K1416" s="4">
        <v>441.64</v>
      </c>
      <c r="L1416" t="s">
        <v>3244</v>
      </c>
      <c r="M1416" s="1">
        <v>46757</v>
      </c>
      <c r="N1416" t="s">
        <v>24</v>
      </c>
      <c r="O1416" t="s">
        <v>51</v>
      </c>
    </row>
    <row r="1417" spans="1:15" x14ac:dyDescent="0.25">
      <c r="A1417" t="s">
        <v>2831</v>
      </c>
      <c r="B1417" t="s">
        <v>53</v>
      </c>
      <c r="C1417">
        <v>2003</v>
      </c>
      <c r="D1417" t="s">
        <v>71</v>
      </c>
      <c r="E1417" t="s">
        <v>116</v>
      </c>
      <c r="F1417" t="s">
        <v>2701</v>
      </c>
      <c r="G1417">
        <v>270</v>
      </c>
      <c r="H1417" t="s">
        <v>85</v>
      </c>
      <c r="I1417" t="s">
        <v>86</v>
      </c>
      <c r="J1417" t="s">
        <v>49</v>
      </c>
      <c r="K1417" s="4">
        <v>107.69</v>
      </c>
      <c r="L1417" t="s">
        <v>3245</v>
      </c>
      <c r="M1417" s="1">
        <v>46463</v>
      </c>
      <c r="N1417" t="s">
        <v>24</v>
      </c>
      <c r="O1417" t="s">
        <v>25</v>
      </c>
    </row>
    <row r="1418" spans="1:15" x14ac:dyDescent="0.25">
      <c r="A1418" t="s">
        <v>3246</v>
      </c>
      <c r="B1418" t="s">
        <v>35</v>
      </c>
      <c r="C1418">
        <v>2021</v>
      </c>
      <c r="D1418" t="s">
        <v>36</v>
      </c>
      <c r="E1418" t="s">
        <v>18</v>
      </c>
      <c r="F1418" t="s">
        <v>490</v>
      </c>
      <c r="G1418">
        <v>530</v>
      </c>
      <c r="H1418" t="s">
        <v>85</v>
      </c>
      <c r="I1418" t="s">
        <v>48</v>
      </c>
      <c r="J1418" t="s">
        <v>101</v>
      </c>
      <c r="K1418" s="4">
        <v>117.9</v>
      </c>
      <c r="L1418" t="s">
        <v>3247</v>
      </c>
      <c r="M1418" s="1">
        <v>46720</v>
      </c>
      <c r="N1418" t="s">
        <v>24</v>
      </c>
      <c r="O1418" t="s">
        <v>33</v>
      </c>
    </row>
    <row r="1419" spans="1:15" x14ac:dyDescent="0.25">
      <c r="A1419" t="s">
        <v>3248</v>
      </c>
      <c r="B1419" t="s">
        <v>138</v>
      </c>
      <c r="C1419">
        <v>2014</v>
      </c>
      <c r="D1419" t="s">
        <v>36</v>
      </c>
      <c r="E1419" t="s">
        <v>78</v>
      </c>
      <c r="F1419" t="s">
        <v>458</v>
      </c>
      <c r="G1419">
        <v>110</v>
      </c>
      <c r="H1419" t="s">
        <v>47</v>
      </c>
      <c r="I1419" t="s">
        <v>30</v>
      </c>
      <c r="J1419" t="s">
        <v>101</v>
      </c>
      <c r="K1419" s="4">
        <v>396.26</v>
      </c>
      <c r="L1419" t="s">
        <v>3249</v>
      </c>
      <c r="M1419" s="1">
        <v>46591</v>
      </c>
      <c r="N1419" t="s">
        <v>75</v>
      </c>
      <c r="O1419" t="s">
        <v>25</v>
      </c>
    </row>
    <row r="1420" spans="1:15" x14ac:dyDescent="0.25">
      <c r="A1420" t="s">
        <v>3250</v>
      </c>
      <c r="B1420" t="s">
        <v>134</v>
      </c>
      <c r="C1420">
        <v>2024</v>
      </c>
      <c r="D1420" t="s">
        <v>36</v>
      </c>
      <c r="E1420" t="s">
        <v>116</v>
      </c>
      <c r="F1420" t="s">
        <v>2990</v>
      </c>
      <c r="G1420">
        <v>370</v>
      </c>
      <c r="H1420" t="s">
        <v>85</v>
      </c>
      <c r="I1420" t="s">
        <v>48</v>
      </c>
      <c r="J1420" t="s">
        <v>22</v>
      </c>
      <c r="K1420" s="4">
        <v>313.26</v>
      </c>
      <c r="L1420" t="s">
        <v>3251</v>
      </c>
      <c r="M1420" s="1">
        <v>46553</v>
      </c>
      <c r="N1420" t="s">
        <v>41</v>
      </c>
      <c r="O1420" t="s">
        <v>51</v>
      </c>
    </row>
    <row r="1421" spans="1:15" x14ac:dyDescent="0.25">
      <c r="A1421" t="s">
        <v>3252</v>
      </c>
      <c r="B1421" t="s">
        <v>59</v>
      </c>
      <c r="C1421">
        <v>1996</v>
      </c>
      <c r="D1421" t="s">
        <v>108</v>
      </c>
      <c r="E1421" t="s">
        <v>45</v>
      </c>
      <c r="F1421" t="s">
        <v>296</v>
      </c>
      <c r="G1421">
        <v>280</v>
      </c>
      <c r="H1421" t="s">
        <v>85</v>
      </c>
      <c r="I1421" t="s">
        <v>91</v>
      </c>
      <c r="J1421" t="s">
        <v>125</v>
      </c>
      <c r="K1421" s="4">
        <v>9.91</v>
      </c>
      <c r="L1421" t="s">
        <v>3253</v>
      </c>
      <c r="M1421" s="1">
        <v>45992</v>
      </c>
      <c r="N1421" t="s">
        <v>41</v>
      </c>
      <c r="O1421" t="s">
        <v>51</v>
      </c>
    </row>
    <row r="1422" spans="1:15" x14ac:dyDescent="0.25">
      <c r="A1422" t="s">
        <v>3254</v>
      </c>
      <c r="B1422" t="s">
        <v>70</v>
      </c>
      <c r="C1422">
        <v>1996</v>
      </c>
      <c r="D1422" t="s">
        <v>66</v>
      </c>
      <c r="E1422" t="s">
        <v>60</v>
      </c>
      <c r="F1422" t="s">
        <v>987</v>
      </c>
      <c r="G1422">
        <v>80</v>
      </c>
      <c r="H1422" t="s">
        <v>47</v>
      </c>
      <c r="I1422" t="s">
        <v>73</v>
      </c>
      <c r="J1422" t="s">
        <v>110</v>
      </c>
      <c r="K1422" s="4">
        <v>57.55</v>
      </c>
      <c r="L1422" t="s">
        <v>3255</v>
      </c>
      <c r="M1422" s="1">
        <v>46639</v>
      </c>
      <c r="N1422" t="s">
        <v>75</v>
      </c>
      <c r="O1422" t="s">
        <v>51</v>
      </c>
    </row>
    <row r="1423" spans="1:15" x14ac:dyDescent="0.25">
      <c r="A1423" t="s">
        <v>3256</v>
      </c>
      <c r="B1423" t="s">
        <v>134</v>
      </c>
      <c r="C1423">
        <v>2001</v>
      </c>
      <c r="D1423" t="s">
        <v>83</v>
      </c>
      <c r="E1423" t="s">
        <v>54</v>
      </c>
      <c r="F1423" t="s">
        <v>388</v>
      </c>
      <c r="G1423">
        <v>850</v>
      </c>
      <c r="H1423" t="s">
        <v>29</v>
      </c>
      <c r="I1423" t="s">
        <v>30</v>
      </c>
      <c r="J1423" t="s">
        <v>31</v>
      </c>
      <c r="K1423" s="4">
        <v>489.13</v>
      </c>
      <c r="L1423" t="s">
        <v>3257</v>
      </c>
      <c r="M1423" s="1">
        <v>46131</v>
      </c>
      <c r="N1423" t="s">
        <v>24</v>
      </c>
      <c r="O1423" t="s">
        <v>51</v>
      </c>
    </row>
    <row r="1424" spans="1:15" x14ac:dyDescent="0.25">
      <c r="A1424" t="s">
        <v>3258</v>
      </c>
      <c r="B1424" t="s">
        <v>134</v>
      </c>
      <c r="C1424">
        <v>2021</v>
      </c>
      <c r="D1424" t="s">
        <v>89</v>
      </c>
      <c r="E1424" t="s">
        <v>99</v>
      </c>
      <c r="F1424" t="s">
        <v>19</v>
      </c>
      <c r="G1424">
        <v>240</v>
      </c>
      <c r="H1424" t="s">
        <v>56</v>
      </c>
      <c r="I1424" t="s">
        <v>186</v>
      </c>
      <c r="J1424" t="s">
        <v>92</v>
      </c>
      <c r="K1424" s="4">
        <v>478.44</v>
      </c>
      <c r="L1424" t="s">
        <v>3259</v>
      </c>
      <c r="M1424" s="1">
        <v>46083</v>
      </c>
      <c r="N1424" t="s">
        <v>41</v>
      </c>
      <c r="O1424" t="s">
        <v>51</v>
      </c>
    </row>
    <row r="1425" spans="1:15" x14ac:dyDescent="0.25">
      <c r="A1425" t="s">
        <v>3260</v>
      </c>
      <c r="B1425" t="s">
        <v>53</v>
      </c>
      <c r="C1425">
        <v>2014</v>
      </c>
      <c r="D1425" t="s">
        <v>89</v>
      </c>
      <c r="E1425" t="s">
        <v>72</v>
      </c>
      <c r="F1425" t="s">
        <v>61</v>
      </c>
      <c r="G1425">
        <v>820</v>
      </c>
      <c r="H1425" t="s">
        <v>20</v>
      </c>
      <c r="I1425" t="s">
        <v>151</v>
      </c>
      <c r="J1425" t="s">
        <v>110</v>
      </c>
      <c r="K1425" s="4">
        <v>475.73</v>
      </c>
      <c r="L1425" t="s">
        <v>3261</v>
      </c>
      <c r="M1425" s="1">
        <v>46916</v>
      </c>
      <c r="N1425" t="s">
        <v>75</v>
      </c>
      <c r="O1425" t="s">
        <v>25</v>
      </c>
    </row>
    <row r="1426" spans="1:15" x14ac:dyDescent="0.25">
      <c r="A1426" t="s">
        <v>2459</v>
      </c>
      <c r="B1426" t="s">
        <v>43</v>
      </c>
      <c r="C1426">
        <v>1996</v>
      </c>
      <c r="D1426" t="s">
        <v>108</v>
      </c>
      <c r="E1426" t="s">
        <v>119</v>
      </c>
      <c r="F1426" t="s">
        <v>3262</v>
      </c>
      <c r="G1426">
        <v>720</v>
      </c>
      <c r="H1426" t="s">
        <v>29</v>
      </c>
      <c r="I1426" t="s">
        <v>48</v>
      </c>
      <c r="J1426" t="s">
        <v>49</v>
      </c>
      <c r="K1426" s="4">
        <v>366.91</v>
      </c>
      <c r="L1426" t="s">
        <v>3263</v>
      </c>
      <c r="M1426" s="1">
        <v>46731</v>
      </c>
      <c r="N1426" t="s">
        <v>75</v>
      </c>
      <c r="O1426" t="s">
        <v>25</v>
      </c>
    </row>
    <row r="1427" spans="1:15" x14ac:dyDescent="0.25">
      <c r="A1427" t="s">
        <v>3264</v>
      </c>
      <c r="B1427" t="s">
        <v>43</v>
      </c>
      <c r="C1427">
        <v>1999</v>
      </c>
      <c r="D1427" t="s">
        <v>17</v>
      </c>
      <c r="E1427" t="s">
        <v>54</v>
      </c>
      <c r="F1427" t="s">
        <v>162</v>
      </c>
      <c r="G1427">
        <v>240</v>
      </c>
      <c r="H1427" t="s">
        <v>56</v>
      </c>
      <c r="I1427" t="s">
        <v>186</v>
      </c>
      <c r="J1427" t="s">
        <v>22</v>
      </c>
      <c r="K1427" s="4">
        <v>177.9</v>
      </c>
      <c r="L1427" t="s">
        <v>3265</v>
      </c>
      <c r="M1427" s="1">
        <v>46215</v>
      </c>
      <c r="N1427" t="s">
        <v>41</v>
      </c>
      <c r="O1427" t="s">
        <v>51</v>
      </c>
    </row>
    <row r="1428" spans="1:15" x14ac:dyDescent="0.25">
      <c r="A1428" t="s">
        <v>3266</v>
      </c>
      <c r="B1428" t="s">
        <v>35</v>
      </c>
      <c r="C1428">
        <v>2017</v>
      </c>
      <c r="D1428" t="s">
        <v>36</v>
      </c>
      <c r="E1428" t="s">
        <v>116</v>
      </c>
      <c r="F1428" t="s">
        <v>3267</v>
      </c>
      <c r="G1428">
        <v>530</v>
      </c>
      <c r="H1428" t="s">
        <v>47</v>
      </c>
      <c r="I1428" t="s">
        <v>73</v>
      </c>
      <c r="J1428" t="s">
        <v>110</v>
      </c>
      <c r="K1428" s="4">
        <v>377.17</v>
      </c>
      <c r="L1428" t="s">
        <v>3268</v>
      </c>
      <c r="M1428" s="1">
        <v>46103</v>
      </c>
      <c r="N1428" t="s">
        <v>41</v>
      </c>
      <c r="O1428" t="s">
        <v>25</v>
      </c>
    </row>
    <row r="1429" spans="1:15" x14ac:dyDescent="0.25">
      <c r="A1429" t="s">
        <v>3269</v>
      </c>
      <c r="B1429" t="s">
        <v>138</v>
      </c>
      <c r="C1429">
        <v>2019</v>
      </c>
      <c r="D1429" t="s">
        <v>95</v>
      </c>
      <c r="E1429" t="s">
        <v>116</v>
      </c>
      <c r="F1429" t="s">
        <v>180</v>
      </c>
      <c r="G1429">
        <v>280</v>
      </c>
      <c r="H1429" t="s">
        <v>20</v>
      </c>
      <c r="I1429" t="s">
        <v>91</v>
      </c>
      <c r="J1429" t="s">
        <v>101</v>
      </c>
      <c r="K1429" s="4">
        <v>444.13</v>
      </c>
      <c r="L1429" t="s">
        <v>3270</v>
      </c>
      <c r="M1429" s="1">
        <v>46344</v>
      </c>
      <c r="N1429" t="s">
        <v>41</v>
      </c>
      <c r="O1429" t="s">
        <v>25</v>
      </c>
    </row>
    <row r="1430" spans="1:15" x14ac:dyDescent="0.25">
      <c r="A1430" t="s">
        <v>2176</v>
      </c>
      <c r="B1430" t="s">
        <v>98</v>
      </c>
      <c r="C1430">
        <v>2024</v>
      </c>
      <c r="D1430" t="s">
        <v>108</v>
      </c>
      <c r="E1430" t="s">
        <v>78</v>
      </c>
      <c r="F1430" t="s">
        <v>195</v>
      </c>
      <c r="G1430">
        <v>190</v>
      </c>
      <c r="H1430" t="s">
        <v>85</v>
      </c>
      <c r="I1430" t="s">
        <v>48</v>
      </c>
      <c r="J1430" t="s">
        <v>63</v>
      </c>
      <c r="K1430" s="4">
        <v>8.4</v>
      </c>
      <c r="L1430" t="s">
        <v>3271</v>
      </c>
      <c r="M1430" s="1">
        <v>46062</v>
      </c>
      <c r="N1430" t="s">
        <v>75</v>
      </c>
      <c r="O1430" t="s">
        <v>51</v>
      </c>
    </row>
    <row r="1431" spans="1:15" x14ac:dyDescent="0.25">
      <c r="A1431" t="s">
        <v>3272</v>
      </c>
      <c r="B1431" t="s">
        <v>35</v>
      </c>
      <c r="C1431">
        <v>1998</v>
      </c>
      <c r="D1431" t="s">
        <v>95</v>
      </c>
      <c r="E1431" t="s">
        <v>78</v>
      </c>
      <c r="F1431" t="s">
        <v>135</v>
      </c>
      <c r="G1431">
        <v>970</v>
      </c>
      <c r="H1431" t="s">
        <v>85</v>
      </c>
      <c r="I1431" t="s">
        <v>91</v>
      </c>
      <c r="J1431" t="s">
        <v>110</v>
      </c>
      <c r="K1431" s="4">
        <v>433.78</v>
      </c>
      <c r="L1431" t="s">
        <v>3273</v>
      </c>
      <c r="M1431" s="1">
        <v>46502</v>
      </c>
      <c r="N1431" t="s">
        <v>24</v>
      </c>
      <c r="O1431" t="s">
        <v>51</v>
      </c>
    </row>
    <row r="1432" spans="1:15" x14ac:dyDescent="0.25">
      <c r="A1432" t="s">
        <v>3274</v>
      </c>
      <c r="B1432" t="s">
        <v>98</v>
      </c>
      <c r="C1432">
        <v>2023</v>
      </c>
      <c r="D1432" t="s">
        <v>66</v>
      </c>
      <c r="E1432" t="s">
        <v>116</v>
      </c>
      <c r="F1432" t="s">
        <v>162</v>
      </c>
      <c r="G1432">
        <v>900</v>
      </c>
      <c r="H1432" t="s">
        <v>29</v>
      </c>
      <c r="I1432" t="s">
        <v>21</v>
      </c>
      <c r="J1432" t="s">
        <v>125</v>
      </c>
      <c r="K1432" s="4">
        <v>234.35</v>
      </c>
      <c r="L1432" t="s">
        <v>3275</v>
      </c>
      <c r="M1432" s="1">
        <v>45932</v>
      </c>
      <c r="N1432" t="s">
        <v>75</v>
      </c>
      <c r="O1432" t="s">
        <v>25</v>
      </c>
    </row>
    <row r="1433" spans="1:15" x14ac:dyDescent="0.25">
      <c r="A1433" t="s">
        <v>3276</v>
      </c>
      <c r="B1433" t="s">
        <v>53</v>
      </c>
      <c r="C1433">
        <v>1993</v>
      </c>
      <c r="D1433" t="s">
        <v>95</v>
      </c>
      <c r="E1433" t="s">
        <v>99</v>
      </c>
      <c r="F1433" t="s">
        <v>79</v>
      </c>
      <c r="G1433">
        <v>850</v>
      </c>
      <c r="H1433" t="s">
        <v>29</v>
      </c>
      <c r="I1433" t="s">
        <v>91</v>
      </c>
      <c r="J1433" t="s">
        <v>63</v>
      </c>
      <c r="K1433" s="4">
        <v>47.48</v>
      </c>
      <c r="L1433" t="s">
        <v>3277</v>
      </c>
      <c r="M1433" s="1">
        <v>46042</v>
      </c>
      <c r="N1433" t="s">
        <v>41</v>
      </c>
      <c r="O1433" t="s">
        <v>51</v>
      </c>
    </row>
    <row r="1434" spans="1:15" x14ac:dyDescent="0.25">
      <c r="A1434" t="s">
        <v>2463</v>
      </c>
      <c r="B1434" t="s">
        <v>70</v>
      </c>
      <c r="C1434">
        <v>2010</v>
      </c>
      <c r="D1434" t="s">
        <v>95</v>
      </c>
      <c r="E1434" t="s">
        <v>99</v>
      </c>
      <c r="F1434" t="s">
        <v>3278</v>
      </c>
      <c r="G1434">
        <v>880</v>
      </c>
      <c r="H1434" t="s">
        <v>29</v>
      </c>
      <c r="I1434" t="s">
        <v>186</v>
      </c>
      <c r="J1434" t="s">
        <v>63</v>
      </c>
      <c r="K1434" s="4">
        <v>235.37</v>
      </c>
      <c r="L1434" t="s">
        <v>3279</v>
      </c>
      <c r="M1434" s="1">
        <v>46658</v>
      </c>
      <c r="N1434" t="s">
        <v>75</v>
      </c>
      <c r="O1434" t="s">
        <v>51</v>
      </c>
    </row>
    <row r="1435" spans="1:15" x14ac:dyDescent="0.25">
      <c r="A1435" t="s">
        <v>3280</v>
      </c>
      <c r="B1435" t="s">
        <v>53</v>
      </c>
      <c r="C1435">
        <v>2007</v>
      </c>
      <c r="D1435" t="s">
        <v>83</v>
      </c>
      <c r="E1435" t="s">
        <v>119</v>
      </c>
      <c r="F1435" t="s">
        <v>513</v>
      </c>
      <c r="G1435">
        <v>960</v>
      </c>
      <c r="H1435" t="s">
        <v>56</v>
      </c>
      <c r="I1435" t="s">
        <v>80</v>
      </c>
      <c r="J1435" t="s">
        <v>49</v>
      </c>
      <c r="K1435" s="4">
        <v>145.09</v>
      </c>
      <c r="L1435" t="s">
        <v>3281</v>
      </c>
      <c r="M1435" s="1">
        <v>46061</v>
      </c>
      <c r="N1435" t="s">
        <v>41</v>
      </c>
      <c r="O1435" t="s">
        <v>51</v>
      </c>
    </row>
    <row r="1436" spans="1:15" x14ac:dyDescent="0.25">
      <c r="A1436" t="s">
        <v>3282</v>
      </c>
      <c r="B1436" t="s">
        <v>70</v>
      </c>
      <c r="C1436">
        <v>1994</v>
      </c>
      <c r="D1436" t="s">
        <v>44</v>
      </c>
      <c r="E1436" t="s">
        <v>72</v>
      </c>
      <c r="F1436" t="s">
        <v>139</v>
      </c>
      <c r="G1436">
        <v>670</v>
      </c>
      <c r="H1436" t="s">
        <v>56</v>
      </c>
      <c r="I1436" t="s">
        <v>80</v>
      </c>
      <c r="J1436" t="s">
        <v>110</v>
      </c>
      <c r="K1436" s="4">
        <v>263.19</v>
      </c>
      <c r="L1436" t="s">
        <v>3283</v>
      </c>
      <c r="M1436" s="1">
        <v>46886</v>
      </c>
      <c r="N1436" t="s">
        <v>75</v>
      </c>
      <c r="O1436" t="s">
        <v>25</v>
      </c>
    </row>
    <row r="1437" spans="1:15" x14ac:dyDescent="0.25">
      <c r="A1437" t="s">
        <v>3284</v>
      </c>
      <c r="B1437" t="s">
        <v>70</v>
      </c>
      <c r="C1437">
        <v>1997</v>
      </c>
      <c r="D1437" t="s">
        <v>95</v>
      </c>
      <c r="E1437" t="s">
        <v>78</v>
      </c>
      <c r="F1437" t="s">
        <v>1644</v>
      </c>
      <c r="G1437">
        <v>760</v>
      </c>
      <c r="H1437" t="s">
        <v>56</v>
      </c>
      <c r="I1437" t="s">
        <v>80</v>
      </c>
      <c r="J1437" t="s">
        <v>146</v>
      </c>
      <c r="K1437" s="4">
        <v>60.8</v>
      </c>
      <c r="L1437" t="s">
        <v>3285</v>
      </c>
      <c r="M1437" s="1">
        <v>45969</v>
      </c>
      <c r="N1437" t="s">
        <v>75</v>
      </c>
      <c r="O1437" t="s">
        <v>25</v>
      </c>
    </row>
  </sheetData>
  <autoFilter ref="F1:F14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16" workbookViewId="0">
      <selection activeCell="E38" sqref="E38"/>
    </sheetView>
  </sheetViews>
  <sheetFormatPr baseColWidth="10" defaultRowHeight="15" x14ac:dyDescent="0.25"/>
  <cols>
    <col min="1" max="1" width="17.5703125" bestFit="1" customWidth="1"/>
    <col min="2" max="2" width="11.85546875" bestFit="1" customWidth="1"/>
  </cols>
  <sheetData>
    <row r="1" spans="1:8" x14ac:dyDescent="0.25">
      <c r="A1" s="3" t="s">
        <v>3329</v>
      </c>
      <c r="B1" s="3"/>
      <c r="C1" s="3"/>
      <c r="D1" s="3"/>
    </row>
    <row r="2" spans="1:8" x14ac:dyDescent="0.25">
      <c r="A2" t="s">
        <v>3</v>
      </c>
      <c r="B2" t="s">
        <v>3296</v>
      </c>
      <c r="C2" t="s">
        <v>3295</v>
      </c>
      <c r="D2" t="s">
        <v>3298</v>
      </c>
      <c r="G2" s="8"/>
      <c r="H2" s="8"/>
    </row>
    <row r="3" spans="1:8" x14ac:dyDescent="0.25">
      <c r="A3" t="s">
        <v>36</v>
      </c>
      <c r="B3">
        <f>COUNTIFS(Datos_limpios!D:D,Aprobación!A5)</f>
        <v>126</v>
      </c>
      <c r="C3">
        <f>COUNTIFS(Datos_limpios!D:D,Aprobación!A5,Datos_limpios!O:O,"Rejected")</f>
        <v>39</v>
      </c>
      <c r="D3" s="5">
        <f>C3/B3</f>
        <v>0.30952380952380953</v>
      </c>
      <c r="F3" s="8"/>
      <c r="G3" s="8"/>
      <c r="H3" s="8"/>
    </row>
    <row r="4" spans="1:8" x14ac:dyDescent="0.25">
      <c r="A4" t="s">
        <v>66</v>
      </c>
      <c r="B4">
        <f>COUNTIFS(Datos_limpios!D:D,Aprobación!A7)</f>
        <v>141</v>
      </c>
      <c r="C4">
        <f>COUNTIFS(Datos_limpios!D:D,Aprobación!A7,Datos_limpios!O:O,"Rejected")</f>
        <v>42</v>
      </c>
      <c r="D4" s="5">
        <f>C4/B4</f>
        <v>0.2978723404255319</v>
      </c>
      <c r="F4" s="8"/>
      <c r="G4" s="8"/>
      <c r="H4" s="8"/>
    </row>
    <row r="5" spans="1:8" x14ac:dyDescent="0.25">
      <c r="A5" t="s">
        <v>71</v>
      </c>
      <c r="B5">
        <f>COUNTIFS(Datos_limpios!D:D,Aprobación!A8)</f>
        <v>143</v>
      </c>
      <c r="C5">
        <f>COUNTIFS(Datos_limpios!D:D,Aprobación!A8,Datos_limpios!O:O,"Rejected")</f>
        <v>63</v>
      </c>
      <c r="D5" s="5">
        <f>C5/B5</f>
        <v>0.44055944055944057</v>
      </c>
      <c r="F5" s="8"/>
      <c r="G5" s="8"/>
      <c r="H5" s="8"/>
    </row>
    <row r="6" spans="1:8" x14ac:dyDescent="0.25">
      <c r="A6" t="s">
        <v>27</v>
      </c>
      <c r="B6">
        <f>COUNTIFS(Datos_limpios!D:D,Aprobación!A4)</f>
        <v>158</v>
      </c>
      <c r="C6">
        <f>COUNTIFS(Datos_limpios!D:D,Aprobación!A4,Datos_limpios!O:O,"Rejected")</f>
        <v>43</v>
      </c>
      <c r="D6" s="5">
        <f>C6/B6</f>
        <v>0.27215189873417722</v>
      </c>
      <c r="F6" s="8"/>
      <c r="G6" s="8"/>
      <c r="H6" s="8"/>
    </row>
    <row r="7" spans="1:8" x14ac:dyDescent="0.25">
      <c r="A7" t="s">
        <v>89</v>
      </c>
      <c r="B7">
        <f>COUNTIFS(Datos_limpios!D:D,Aprobación!A10)</f>
        <v>134</v>
      </c>
      <c r="C7">
        <f>COUNTIFS(Datos_limpios!D:D,Aprobación!A10,Datos_limpios!O:O,"Rejected")</f>
        <v>43</v>
      </c>
      <c r="D7" s="5">
        <f>C7/B7</f>
        <v>0.32089552238805968</v>
      </c>
      <c r="F7" s="8"/>
      <c r="G7" s="8"/>
      <c r="H7" s="8"/>
    </row>
    <row r="8" spans="1:8" x14ac:dyDescent="0.25">
      <c r="A8" t="s">
        <v>95</v>
      </c>
      <c r="B8">
        <f>COUNTIFS(Datos_limpios!D:D,Aprobación!A11)</f>
        <v>143</v>
      </c>
      <c r="C8">
        <f>COUNTIFS(Datos_limpios!D:D,Aprobación!A11,Datos_limpios!O:O,"Rejected")</f>
        <v>53</v>
      </c>
      <c r="D8" s="5">
        <f>C8/B8</f>
        <v>0.37062937062937062</v>
      </c>
      <c r="F8" s="8"/>
      <c r="G8" s="8"/>
      <c r="H8" s="8"/>
    </row>
    <row r="9" spans="1:8" x14ac:dyDescent="0.25">
      <c r="A9" t="s">
        <v>17</v>
      </c>
      <c r="B9">
        <f>COUNTIFS(Datos_limpios!D:D,Aprobación!A3)</f>
        <v>147</v>
      </c>
      <c r="C9">
        <f>COUNTIFS(Datos_limpios!D:D,Aprobación!A3,Datos_limpios!O:O,"Rejected")</f>
        <v>48</v>
      </c>
      <c r="D9" s="5">
        <f>C9/B9</f>
        <v>0.32653061224489793</v>
      </c>
      <c r="F9" s="8"/>
      <c r="G9" s="8"/>
      <c r="H9" s="8"/>
    </row>
    <row r="10" spans="1:8" x14ac:dyDescent="0.25">
      <c r="A10" t="s">
        <v>108</v>
      </c>
      <c r="B10">
        <f>COUNTIFS(Datos_limpios!D:D,Aprobación!A12)</f>
        <v>144</v>
      </c>
      <c r="C10">
        <f>COUNTIFS(Datos_limpios!D:D,Aprobación!A12,Datos_limpios!O:O,"Rejected")</f>
        <v>46</v>
      </c>
      <c r="D10" s="5">
        <f>C10/B10</f>
        <v>0.31944444444444442</v>
      </c>
      <c r="F10" s="8"/>
      <c r="G10" s="8"/>
      <c r="H10" s="8"/>
    </row>
    <row r="11" spans="1:8" x14ac:dyDescent="0.25">
      <c r="A11" t="s">
        <v>83</v>
      </c>
      <c r="B11">
        <f>COUNTIFS(Datos_limpios!D:D,Aprobación!A9)</f>
        <v>156</v>
      </c>
      <c r="C11">
        <f>COUNTIFS(Datos_limpios!D:D,Aprobación!A9,Datos_limpios!O:O,"Rejected")</f>
        <v>57</v>
      </c>
      <c r="D11" s="5">
        <f>C11/B11</f>
        <v>0.36538461538461536</v>
      </c>
    </row>
    <row r="12" spans="1:8" x14ac:dyDescent="0.25">
      <c r="A12" t="s">
        <v>44</v>
      </c>
      <c r="B12">
        <f>COUNTIFS(Datos_limpios!D:D,Aprobación!A6)</f>
        <v>144</v>
      </c>
      <c r="C12">
        <f>COUNTIFS(Datos_limpios!D:D,Aprobación!A6,Datos_limpios!O:O,"Rejected")</f>
        <v>44</v>
      </c>
      <c r="D12" s="5">
        <f>C12/B12</f>
        <v>0.30555555555555558</v>
      </c>
    </row>
    <row r="35" spans="1:8" x14ac:dyDescent="0.25">
      <c r="A35" s="28" t="s">
        <v>3330</v>
      </c>
      <c r="B35" s="28"/>
      <c r="C35" s="28"/>
      <c r="D35" s="28"/>
      <c r="E35" s="28"/>
      <c r="F35" s="28"/>
      <c r="G35" s="28"/>
      <c r="H35" s="7"/>
    </row>
    <row r="36" spans="1:8" x14ac:dyDescent="0.25">
      <c r="A36" s="28"/>
      <c r="B36" s="28"/>
      <c r="C36" s="28"/>
      <c r="D36" s="28"/>
      <c r="E36" s="28"/>
      <c r="F36" s="28"/>
      <c r="G36" s="28"/>
      <c r="H36" s="7"/>
    </row>
    <row r="37" spans="1:8" x14ac:dyDescent="0.25">
      <c r="A37" s="7"/>
      <c r="B37" s="7"/>
      <c r="C37" s="7"/>
      <c r="D37" s="7"/>
      <c r="E37" s="7"/>
      <c r="F37" s="7"/>
      <c r="G37" s="7"/>
      <c r="H37" s="7"/>
    </row>
  </sheetData>
  <sortState ref="A2:E11">
    <sortCondition descending="1" ref="D2:D11"/>
  </sortState>
  <mergeCells count="2">
    <mergeCell ref="A1:D1"/>
    <mergeCell ref="A35:G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G31" sqref="G31"/>
    </sheetView>
  </sheetViews>
  <sheetFormatPr baseColWidth="10" defaultRowHeight="15" x14ac:dyDescent="0.25"/>
  <cols>
    <col min="1" max="1" width="36.42578125" bestFit="1" customWidth="1"/>
    <col min="2" max="2" width="19.28515625" bestFit="1" customWidth="1"/>
    <col min="3" max="3" width="15" bestFit="1" customWidth="1"/>
    <col min="5" max="5" width="21" customWidth="1"/>
  </cols>
  <sheetData>
    <row r="1" spans="1:6" x14ac:dyDescent="0.25">
      <c r="A1" s="3" t="s">
        <v>3327</v>
      </c>
      <c r="B1" s="3"/>
      <c r="C1" s="3"/>
      <c r="D1" s="3"/>
      <c r="E1" s="3"/>
      <c r="F1" s="3"/>
    </row>
    <row r="2" spans="1:6" x14ac:dyDescent="0.25">
      <c r="A2" t="s">
        <v>3294</v>
      </c>
      <c r="B2" t="s">
        <v>33</v>
      </c>
      <c r="C2" t="s">
        <v>25</v>
      </c>
      <c r="D2" t="s">
        <v>51</v>
      </c>
      <c r="E2" t="s">
        <v>3296</v>
      </c>
      <c r="F2" t="s">
        <v>3297</v>
      </c>
    </row>
    <row r="3" spans="1:6" x14ac:dyDescent="0.25">
      <c r="A3" t="s">
        <v>24</v>
      </c>
      <c r="B3" s="7">
        <f>COUNTIFS(Datos_limpios!N:N,Efectos!A3,Datos_limpios!O:O,Efectos!B2)</f>
        <v>175</v>
      </c>
      <c r="C3">
        <f>COUNTIFS(Datos_limpios!N:N,Efectos!A3,Datos_limpios!O:O,Efectos!C2)</f>
        <v>157</v>
      </c>
      <c r="D3">
        <f>COUNTIFS(Datos_limpios!N:N,Efectos!A3,Datos_limpios!O:O,Efectos!D2)</f>
        <v>158</v>
      </c>
      <c r="E3">
        <f>SUM(B3:D3)</f>
        <v>490</v>
      </c>
      <c r="F3" s="2">
        <f>(D3/E3)</f>
        <v>0.32244897959183672</v>
      </c>
    </row>
    <row r="4" spans="1:6" x14ac:dyDescent="0.25">
      <c r="A4" t="s">
        <v>41</v>
      </c>
      <c r="B4" s="7">
        <f>COUNTIFS(Datos_limpios!N:N,Efectos!A5,Datos_limpios!O:O,Efectos!B2)</f>
        <v>140</v>
      </c>
      <c r="C4">
        <f>COUNTIFS(Datos_limpios!N:N,Efectos!A5,Datos_limpios!O:O,Efectos!C2)</f>
        <v>174</v>
      </c>
      <c r="D4">
        <f>COUNTIFS(Datos_limpios!N:N,Efectos!A5,Datos_limpios!O:O,Efectos!D2)</f>
        <v>150</v>
      </c>
      <c r="E4">
        <f>SUM(B4:D4)</f>
        <v>464</v>
      </c>
      <c r="F4" s="2">
        <f>(D4/E4)</f>
        <v>0.32327586206896552</v>
      </c>
    </row>
    <row r="5" spans="1:6" x14ac:dyDescent="0.25">
      <c r="A5" t="s">
        <v>75</v>
      </c>
      <c r="B5" s="7">
        <f>COUNTIFS(Datos_limpios!N:N,Efectos!A4,Datos_limpios!O:O,Efectos!B2)</f>
        <v>147</v>
      </c>
      <c r="C5">
        <f>COUNTIFS(Datos_limpios!N:N,Efectos!A4,Datos_limpios!O:O,Efectos!C2)</f>
        <v>165</v>
      </c>
      <c r="D5">
        <f>COUNTIFS(Datos_limpios!N:N,Efectos!A4,Datos_limpios!O:O,Efectos!D2)</f>
        <v>170</v>
      </c>
      <c r="E5">
        <f>SUM(B5:D5)</f>
        <v>482</v>
      </c>
      <c r="F5" s="2">
        <f>(D5/E5)</f>
        <v>0.35269709543568467</v>
      </c>
    </row>
    <row r="31" spans="1:5" x14ac:dyDescent="0.25">
      <c r="A31" s="28" t="s">
        <v>3328</v>
      </c>
      <c r="B31" s="28"/>
      <c r="C31" s="28"/>
      <c r="D31" s="28"/>
      <c r="E31" s="28"/>
    </row>
    <row r="32" spans="1:5" x14ac:dyDescent="0.25">
      <c r="A32" s="28"/>
      <c r="B32" s="28"/>
      <c r="C32" s="28"/>
      <c r="D32" s="28"/>
      <c r="E32" s="28"/>
    </row>
    <row r="33" spans="1:5" x14ac:dyDescent="0.25">
      <c r="A33" s="28"/>
      <c r="B33" s="28"/>
      <c r="C33" s="28"/>
      <c r="D33" s="28"/>
      <c r="E33" s="28"/>
    </row>
    <row r="34" spans="1:5" x14ac:dyDescent="0.25">
      <c r="A34" s="28"/>
      <c r="B34" s="28"/>
      <c r="C34" s="28"/>
      <c r="D34" s="28"/>
      <c r="E34" s="28"/>
    </row>
  </sheetData>
  <sortState ref="A2:F4">
    <sortCondition ref="A2:A4"/>
  </sortState>
  <mergeCells count="2">
    <mergeCell ref="A1:F1"/>
    <mergeCell ref="A31:E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H42"/>
  <sheetViews>
    <sheetView topLeftCell="A10" workbookViewId="0">
      <selection activeCell="J42" sqref="J42"/>
    </sheetView>
  </sheetViews>
  <sheetFormatPr baseColWidth="10" defaultRowHeight="15" x14ac:dyDescent="0.25"/>
  <cols>
    <col min="1" max="1" width="21" bestFit="1" customWidth="1"/>
    <col min="2" max="2" width="17.5703125" bestFit="1" customWidth="1"/>
    <col min="3" max="3" width="15" bestFit="1" customWidth="1"/>
    <col min="5" max="5" width="26.5703125" customWidth="1"/>
  </cols>
  <sheetData>
    <row r="1" spans="1:6" x14ac:dyDescent="0.25">
      <c r="A1" s="3" t="s">
        <v>3323</v>
      </c>
      <c r="B1" s="3"/>
      <c r="C1" s="3"/>
      <c r="D1" s="3"/>
      <c r="E1" s="3"/>
      <c r="F1" s="3"/>
    </row>
    <row r="2" spans="1:6" x14ac:dyDescent="0.25">
      <c r="A2" t="s">
        <v>3292</v>
      </c>
      <c r="B2" t="s">
        <v>3286</v>
      </c>
      <c r="C2" t="s">
        <v>3287</v>
      </c>
      <c r="D2" t="s">
        <v>3288</v>
      </c>
      <c r="E2" t="s">
        <v>3290</v>
      </c>
      <c r="F2" t="s">
        <v>3289</v>
      </c>
    </row>
    <row r="3" spans="1:6" x14ac:dyDescent="0.25">
      <c r="A3" t="s">
        <v>16</v>
      </c>
      <c r="B3">
        <f>COUNTIFS(Datos_limpios!B:B, "AstraZeneca", Datos_limpios!O:O, "Approved")</f>
        <v>43</v>
      </c>
      <c r="C3">
        <f>COUNTIFS(Datos_limpios!B:B, "AstraZeneca", Datos_limpios!O:O, "Rejected")</f>
        <v>39</v>
      </c>
      <c r="D3">
        <f>COUNTIFS(Datos_limpios!B:B, "AstraZeneca", Datos_limpios!O:O, "Pending")</f>
        <v>50</v>
      </c>
      <c r="E3">
        <f>SUM(B3:D3)</f>
        <v>132</v>
      </c>
      <c r="F3" s="2">
        <f>B3/E3</f>
        <v>0.32575757575757575</v>
      </c>
    </row>
    <row r="4" spans="1:6" x14ac:dyDescent="0.25">
      <c r="A4" t="s">
        <v>35</v>
      </c>
      <c r="B4">
        <f>COUNTIFS(Datos_limpios!B:B, A4, Datos_limpios!O:O, "Approved")</f>
        <v>52</v>
      </c>
      <c r="C4">
        <f>COUNTIFS(Datos_limpios!B:B, A4, Datos_limpios!O:O, "Rejected")</f>
        <v>54</v>
      </c>
      <c r="D4">
        <f>COUNTIFS(Datos_limpios!B:B, A4, Datos_limpios!O:O, "Pending")</f>
        <v>51</v>
      </c>
      <c r="E4">
        <f t="shared" ref="E4:E12" si="0">SUM(B4:D4)</f>
        <v>157</v>
      </c>
      <c r="F4" s="2">
        <f t="shared" ref="F4:F12" si="1">B4/E4</f>
        <v>0.33121019108280253</v>
      </c>
    </row>
    <row r="5" spans="1:6" x14ac:dyDescent="0.25">
      <c r="A5" t="s">
        <v>43</v>
      </c>
      <c r="B5">
        <f>COUNTIFS(Datos_limpios!B:B, A5, Datos_limpios!O:O, "Approved")</f>
        <v>42</v>
      </c>
      <c r="C5">
        <f>COUNTIFS(Datos_limpios!B:B, A5, Datos_limpios!O:O, "Rejected")</f>
        <v>45</v>
      </c>
      <c r="D5">
        <f>COUNTIFS(Datos_limpios!B:B, A5, Datos_limpios!O:O, "Pending")</f>
        <v>50</v>
      </c>
      <c r="E5">
        <f t="shared" si="0"/>
        <v>137</v>
      </c>
      <c r="F5" s="2">
        <f t="shared" si="1"/>
        <v>0.30656934306569344</v>
      </c>
    </row>
    <row r="6" spans="1:6" x14ac:dyDescent="0.25">
      <c r="A6" t="s">
        <v>53</v>
      </c>
      <c r="B6">
        <f>COUNTIFS(Datos_limpios!B:B, A6, Datos_limpios!O:O, "Approved")</f>
        <v>40</v>
      </c>
      <c r="C6">
        <f>COUNTIFS(Datos_limpios!B:B, A6, Datos_limpios!O:O, "Rejected")</f>
        <v>56</v>
      </c>
      <c r="D6">
        <f>COUNTIFS(Datos_limpios!B:B, A6, Datos_limpios!O:O, "Pending")</f>
        <v>40</v>
      </c>
      <c r="E6">
        <f t="shared" si="0"/>
        <v>136</v>
      </c>
      <c r="F6" s="2">
        <f t="shared" si="1"/>
        <v>0.29411764705882354</v>
      </c>
    </row>
    <row r="7" spans="1:6" x14ac:dyDescent="0.25">
      <c r="A7" t="s">
        <v>59</v>
      </c>
      <c r="B7">
        <f>COUNTIFS(Datos_limpios!B:B, A7, Datos_limpios!O:O, "Approved")</f>
        <v>53</v>
      </c>
      <c r="C7">
        <f>COUNTIFS(Datos_limpios!B:B, A7, Datos_limpios!O:O, "Rejected")</f>
        <v>50</v>
      </c>
      <c r="D7">
        <f>COUNTIFS(Datos_limpios!B:B, A7, Datos_limpios!O:O, "Pending")</f>
        <v>46</v>
      </c>
      <c r="E7">
        <f t="shared" si="0"/>
        <v>149</v>
      </c>
      <c r="F7" s="2">
        <f t="shared" si="1"/>
        <v>0.35570469798657717</v>
      </c>
    </row>
    <row r="8" spans="1:6" x14ac:dyDescent="0.25">
      <c r="A8" t="s">
        <v>70</v>
      </c>
      <c r="B8">
        <f>COUNTIFS(Datos_limpios!B:B, A8, Datos_limpios!O:O, "Approved")</f>
        <v>45</v>
      </c>
      <c r="C8">
        <f>COUNTIFS(Datos_limpios!B:B, A8, Datos_limpios!O:O, "Rejected")</f>
        <v>50</v>
      </c>
      <c r="D8">
        <f>COUNTIFS(Datos_limpios!B:B, A8, Datos_limpios!O:O, "Pending")</f>
        <v>45</v>
      </c>
      <c r="E8">
        <f t="shared" si="0"/>
        <v>140</v>
      </c>
      <c r="F8" s="2">
        <f t="shared" si="1"/>
        <v>0.32142857142857145</v>
      </c>
    </row>
    <row r="9" spans="1:6" x14ac:dyDescent="0.25">
      <c r="A9" t="s">
        <v>77</v>
      </c>
      <c r="B9">
        <f>COUNTIFS(Datos_limpios!B:B, A9, Datos_limpios!O:O, "Approved")</f>
        <v>49</v>
      </c>
      <c r="C9">
        <f>COUNTIFS(Datos_limpios!B:B, A9, Datos_limpios!O:O, "Rejected")</f>
        <v>40</v>
      </c>
      <c r="D9">
        <f>COUNTIFS(Datos_limpios!B:B, A9, Datos_limpios!O:O, "Pending")</f>
        <v>59</v>
      </c>
      <c r="E9">
        <f t="shared" si="0"/>
        <v>148</v>
      </c>
      <c r="F9" s="2">
        <f t="shared" si="1"/>
        <v>0.33108108108108109</v>
      </c>
    </row>
    <row r="10" spans="1:6" x14ac:dyDescent="0.25">
      <c r="A10" t="s">
        <v>98</v>
      </c>
      <c r="B10">
        <f>COUNTIFS(Datos_limpios!B:B, A10, Datos_limpios!O:O, "Approved")</f>
        <v>44</v>
      </c>
      <c r="C10">
        <f>COUNTIFS(Datos_limpios!B:B, A10, Datos_limpios!O:O, "Rejected")</f>
        <v>40</v>
      </c>
      <c r="D10">
        <f>COUNTIFS(Datos_limpios!B:B, A10, Datos_limpios!O:O, "Pending")</f>
        <v>63</v>
      </c>
      <c r="E10">
        <f t="shared" si="0"/>
        <v>147</v>
      </c>
      <c r="F10" s="2">
        <f t="shared" si="1"/>
        <v>0.29931972789115646</v>
      </c>
    </row>
    <row r="11" spans="1:6" x14ac:dyDescent="0.25">
      <c r="A11" t="s">
        <v>134</v>
      </c>
      <c r="B11">
        <f>COUNTIFS(Datos_limpios!B:B, A11, Datos_limpios!O:O, "Approved")</f>
        <v>52</v>
      </c>
      <c r="C11">
        <f>COUNTIFS(Datos_limpios!B:B, A11, Datos_limpios!O:O, "Rejected")</f>
        <v>51</v>
      </c>
      <c r="D11">
        <f>COUNTIFS(Datos_limpios!B:B, A11, Datos_limpios!O:O, "Pending")</f>
        <v>43</v>
      </c>
      <c r="E11">
        <f t="shared" si="0"/>
        <v>146</v>
      </c>
      <c r="F11" s="2">
        <f t="shared" si="1"/>
        <v>0.35616438356164382</v>
      </c>
    </row>
    <row r="12" spans="1:6" x14ac:dyDescent="0.25">
      <c r="A12" t="s">
        <v>138</v>
      </c>
      <c r="B12">
        <f>COUNTIFS(Datos_limpios!B:B, A12, Datos_limpios!O:O, "Approved")</f>
        <v>42</v>
      </c>
      <c r="C12">
        <f>COUNTIFS(Datos_limpios!B:B, A12, Datos_limpios!O:O, "Rejected")</f>
        <v>53</v>
      </c>
      <c r="D12">
        <f>COUNTIFS(Datos_limpios!B:B, A12, Datos_limpios!O:O, "Pending")</f>
        <v>49</v>
      </c>
      <c r="E12">
        <f t="shared" si="0"/>
        <v>144</v>
      </c>
      <c r="F12" s="2">
        <f t="shared" si="1"/>
        <v>0.29166666666666669</v>
      </c>
    </row>
    <row r="40" spans="1:8" x14ac:dyDescent="0.25">
      <c r="A40" s="28" t="s">
        <v>3324</v>
      </c>
      <c r="B40" s="28"/>
      <c r="C40" s="28"/>
      <c r="D40" s="28"/>
      <c r="E40" s="28"/>
      <c r="F40" s="28"/>
      <c r="G40" s="28"/>
      <c r="H40" s="28"/>
    </row>
    <row r="41" spans="1:8" x14ac:dyDescent="0.25">
      <c r="A41" s="28"/>
      <c r="B41" s="28"/>
      <c r="C41" s="28"/>
      <c r="D41" s="28"/>
      <c r="E41" s="28"/>
      <c r="F41" s="28"/>
      <c r="G41" s="28"/>
      <c r="H41" s="28"/>
    </row>
    <row r="42" spans="1:8" x14ac:dyDescent="0.25">
      <c r="A42" s="28"/>
      <c r="B42" s="28"/>
      <c r="C42" s="28"/>
      <c r="D42" s="28"/>
      <c r="E42" s="28"/>
      <c r="F42" s="28"/>
      <c r="G42" s="28"/>
      <c r="H42" s="28"/>
    </row>
  </sheetData>
  <dataConsolidate/>
  <mergeCells count="2">
    <mergeCell ref="A1:F1"/>
    <mergeCell ref="A40:H4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H35"/>
  <sheetViews>
    <sheetView topLeftCell="A7" workbookViewId="0">
      <selection activeCell="J29" sqref="J29"/>
    </sheetView>
  </sheetViews>
  <sheetFormatPr baseColWidth="10" defaultRowHeight="15" x14ac:dyDescent="0.25"/>
  <cols>
    <col min="1" max="1" width="17.5703125" bestFit="1" customWidth="1"/>
    <col min="2" max="2" width="32.42578125" customWidth="1"/>
  </cols>
  <sheetData>
    <row r="1" spans="1:2" x14ac:dyDescent="0.25">
      <c r="A1" s="3" t="s">
        <v>3325</v>
      </c>
      <c r="B1" s="3"/>
    </row>
    <row r="2" spans="1:2" x14ac:dyDescent="0.25">
      <c r="A2" t="s">
        <v>3291</v>
      </c>
      <c r="B2" t="s">
        <v>3293</v>
      </c>
    </row>
    <row r="3" spans="1:2" x14ac:dyDescent="0.25">
      <c r="A3" t="s">
        <v>17</v>
      </c>
      <c r="B3" s="6">
        <f>AVERAGEIFS(Datos_limpios!K2:K1437, Datos_limpios!D2:D1437, A3)</f>
        <v>266.71532051282031</v>
      </c>
    </row>
    <row r="4" spans="1:2" x14ac:dyDescent="0.25">
      <c r="A4" t="s">
        <v>27</v>
      </c>
      <c r="B4" s="6">
        <f>AVERAGEIFS(Datos_limpios!K3:K1438, Datos_limpios!D3:D1438, A4)</f>
        <v>240.27659722222222</v>
      </c>
    </row>
    <row r="5" spans="1:2" x14ac:dyDescent="0.25">
      <c r="A5" t="s">
        <v>36</v>
      </c>
      <c r="B5" s="6">
        <f>AVERAGEIFS(Datos_limpios!K4:K1439, Datos_limpios!D4:D1439, A5)</f>
        <v>242.60938775510195</v>
      </c>
    </row>
    <row r="6" spans="1:2" x14ac:dyDescent="0.25">
      <c r="A6" t="s">
        <v>44</v>
      </c>
      <c r="B6" s="6">
        <f>AVERAGEIFS(Datos_limpios!K5:K1440, Datos_limpios!D5:D1440, A6)</f>
        <v>248.97638888888883</v>
      </c>
    </row>
    <row r="7" spans="1:2" x14ac:dyDescent="0.25">
      <c r="A7" t="s">
        <v>66</v>
      </c>
      <c r="B7" s="6">
        <f>AVERAGEIFS(Datos_limpios!K6:K1441, Datos_limpios!D6:D1441, A7)</f>
        <v>241.70772151898734</v>
      </c>
    </row>
    <row r="8" spans="1:2" x14ac:dyDescent="0.25">
      <c r="A8" t="s">
        <v>71</v>
      </c>
      <c r="B8" s="6">
        <f>AVERAGEIFS(Datos_limpios!K7:K1442, Datos_limpios!D7:D1442, A8)</f>
        <v>249.35515873015873</v>
      </c>
    </row>
    <row r="9" spans="1:2" x14ac:dyDescent="0.25">
      <c r="A9" t="s">
        <v>83</v>
      </c>
      <c r="B9" s="6">
        <f>AVERAGEIFS(Datos_limpios!K8:K1443, Datos_limpios!D8:D1443, A9)</f>
        <v>245.34664335664334</v>
      </c>
    </row>
    <row r="10" spans="1:2" x14ac:dyDescent="0.25">
      <c r="A10" t="s">
        <v>89</v>
      </c>
      <c r="B10" s="6">
        <f>AVERAGEIFS(Datos_limpios!K9:K1444, Datos_limpios!D9:D1444, A10)</f>
        <v>264.36021276595761</v>
      </c>
    </row>
    <row r="11" spans="1:2" x14ac:dyDescent="0.25">
      <c r="A11" t="s">
        <v>95</v>
      </c>
      <c r="B11" s="6">
        <f>AVERAGEIFS(Datos_limpios!K10:K1445, Datos_limpios!D10:D1445, A11)</f>
        <v>248.67069930069928</v>
      </c>
    </row>
    <row r="12" spans="1:2" x14ac:dyDescent="0.25">
      <c r="A12" t="s">
        <v>108</v>
      </c>
      <c r="B12" s="6">
        <f>AVERAGEIFS(Datos_limpios!K11:K1446, Datos_limpios!D11:D1446, A12)</f>
        <v>271.62514925373142</v>
      </c>
    </row>
    <row r="29" spans="1:8" x14ac:dyDescent="0.25">
      <c r="A29" s="27" t="s">
        <v>3326</v>
      </c>
      <c r="B29" s="27"/>
      <c r="C29" s="27"/>
      <c r="D29" s="27"/>
      <c r="E29" s="27"/>
      <c r="F29" s="8"/>
      <c r="G29" s="8"/>
      <c r="H29" s="8"/>
    </row>
    <row r="30" spans="1:8" x14ac:dyDescent="0.25">
      <c r="A30" s="27"/>
      <c r="B30" s="27"/>
      <c r="C30" s="27"/>
      <c r="D30" s="27"/>
      <c r="E30" s="27"/>
      <c r="F30" s="8"/>
      <c r="G30" s="8"/>
      <c r="H30" s="8"/>
    </row>
    <row r="31" spans="1:8" ht="12" customHeight="1" x14ac:dyDescent="0.25">
      <c r="A31" s="27"/>
      <c r="B31" s="27"/>
      <c r="C31" s="27"/>
      <c r="D31" s="27"/>
      <c r="E31" s="27"/>
      <c r="F31" s="8"/>
      <c r="G31" s="8"/>
      <c r="H31" s="8"/>
    </row>
    <row r="32" spans="1:8" ht="14.25" customHeight="1" x14ac:dyDescent="0.25">
      <c r="A32" s="27"/>
      <c r="B32" s="27"/>
      <c r="C32" s="27"/>
      <c r="D32" s="27"/>
      <c r="E32" s="27"/>
      <c r="F32" s="8"/>
      <c r="G32" s="8"/>
      <c r="H32" s="8"/>
    </row>
    <row r="33" spans="1:5" x14ac:dyDescent="0.25">
      <c r="A33" s="27"/>
      <c r="B33" s="27"/>
      <c r="C33" s="27"/>
      <c r="D33" s="27"/>
      <c r="E33" s="27"/>
    </row>
    <row r="34" spans="1:5" x14ac:dyDescent="0.25">
      <c r="A34" s="27"/>
      <c r="B34" s="27"/>
      <c r="C34" s="27"/>
      <c r="D34" s="27"/>
      <c r="E34" s="27"/>
    </row>
    <row r="35" spans="1:5" x14ac:dyDescent="0.25">
      <c r="A35" s="27"/>
      <c r="B35" s="27"/>
      <c r="C35" s="27"/>
      <c r="D35" s="27"/>
      <c r="E35" s="27"/>
    </row>
  </sheetData>
  <mergeCells count="2">
    <mergeCell ref="A29:E35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Proyecto</vt:lpstr>
      <vt:lpstr>Datos_limpios</vt:lpstr>
      <vt:lpstr>Aprobación</vt:lpstr>
      <vt:lpstr>Efectos</vt:lpstr>
      <vt:lpstr>Resumen_fabricantes</vt:lpstr>
      <vt:lpstr>medicamentos</vt:lpstr>
      <vt:lpstr>Datos_limpios!realistic_drug_labels_side_effects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2025-11-03T21:30:55Z</dcterms:created>
  <dcterms:modified xsi:type="dcterms:W3CDTF">2025-11-06T23:07:32Z</dcterms:modified>
</cp:coreProperties>
</file>